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workbookPr codeName="ThisWorkbook" defaultThemeVersion="124226"/>
  <mc:AlternateContent xmlns:mc="http://schemas.openxmlformats.org/markup-compatibility/2006">
    <mc:Choice Requires="x15">
      <x15ac:absPath xmlns:x15ac="http://schemas.microsoft.com/office/spreadsheetml/2010/11/ac" url="/Users/sfrenot/Downloads/tmp/"/>
    </mc:Choice>
  </mc:AlternateContent>
  <xr:revisionPtr revIDLastSave="0" documentId="8_{C6A7A562-E096-B84D-9ED6-D08264F7FF7C}" xr6:coauthVersionLast="36" xr6:coauthVersionMax="36" xr10:uidLastSave="{00000000-0000-0000-0000-000000000000}"/>
  <bookViews>
    <workbookView xWindow="28760" yWindow="-4440" windowWidth="38500" windowHeight="23420" tabRatio="831" firstSheet="13" activeTab="15" xr2:uid="{00000000-000D-0000-FFFF-FFFF00000000}"/>
  </bookViews>
  <sheets>
    <sheet name="SYNTHESE FINALE" sheetId="59" r:id="rId1"/>
    <sheet name="Listes" sheetId="54" r:id="rId2"/>
    <sheet name="SSMT-F" sheetId="12" r:id="rId3"/>
    <sheet name="TC1-F" sheetId="21" r:id="rId4"/>
    <sheet name="MA1" sheetId="22" r:id="rId5"/>
    <sheet name="ETEP1-F" sheetId="25" r:id="rId6"/>
    <sheet name="EC1-F" sheetId="24" r:id="rId7"/>
    <sheet name="IF1-F" sheetId="19" r:id="rId8"/>
    <sheet name="AU1-F" sheetId="20" r:id="rId9"/>
    <sheet name="HU1-F" sheetId="27" r:id="rId10"/>
    <sheet name="TT-F" sheetId="28" r:id="rId11"/>
    <sheet name="MA2" sheetId="29" r:id="rId12"/>
    <sheet name="ETEP2-F" sheetId="30" r:id="rId13"/>
    <sheet name="EC2-F" sheetId="31" r:id="rId14"/>
    <sheet name="IF2-F" sheetId="32" r:id="rId15"/>
    <sheet name="HU2-F" sheetId="33" r:id="rId16"/>
    <sheet name="AU2-F" sheetId="34" r:id="rId17"/>
    <sheet name="AU3-F" sheetId="35" r:id="rId18"/>
    <sheet name="MA3-F" sheetId="36" r:id="rId19"/>
    <sheet name="TS-F" sheetId="37" r:id="rId20"/>
    <sheet name="ETEP3-F" sheetId="38" r:id="rId21"/>
    <sheet name="TC2" sheetId="39" r:id="rId22"/>
    <sheet name="IF3-F" sheetId="40" r:id="rId23"/>
    <sheet name="HU3" sheetId="42" r:id="rId24"/>
    <sheet name="IF4-F" sheetId="43" r:id="rId25"/>
    <sheet name="AU4-F" sheetId="44" r:id="rId26"/>
    <sheet name="MA4-F" sheetId="45" r:id="rId27"/>
    <sheet name="TC3" sheetId="46" r:id="rId28"/>
    <sheet name="EC3-F" sheetId="47" r:id="rId29"/>
    <sheet name="HU4" sheetId="41" r:id="rId30"/>
    <sheet name="Op C2E-F" sheetId="49" r:id="rId31"/>
    <sheet name="Op TDSI" sheetId="50" r:id="rId32"/>
    <sheet name="Op SEI-F" sheetId="51" r:id="rId33"/>
    <sheet name="Op ISIP-F" sheetId="58" r:id="rId34"/>
    <sheet name="Op SEC" sheetId="53" r:id="rId35"/>
    <sheet name="Op CCSA-F" sheetId="57" r:id="rId36"/>
    <sheet name="PFE" sheetId="61" r:id="rId37"/>
    <sheet name="stage" sheetId="62" r:id="rId38"/>
    <sheet name="TPTR" sheetId="63" r:id="rId39"/>
    <sheet name="PRT" sheetId="64" r:id="rId40"/>
    <sheet name="SYNTHESE MODIF" sheetId="55" r:id="rId41"/>
    <sheet name="SYNTHESE" sheetId="1" r:id="rId42"/>
    <sheet name="Feuil4" sheetId="26" r:id="rId43"/>
  </sheets>
  <externalReferences>
    <externalReference r:id="rId44"/>
  </externalReferences>
  <definedNames>
    <definedName name="_xlnm._FilterDatabase" localSheetId="2" hidden="1">'SSMT-F'!$O$7:$P$7</definedName>
    <definedName name="choix" localSheetId="35">[1]Feuil4!$E$3:$E$4</definedName>
    <definedName name="choix" localSheetId="33">[1]Feuil4!$E$3:$E$4</definedName>
    <definedName name="choix">Feuil4!$E$3:$E$4</definedName>
    <definedName name="Choix_capacité" localSheetId="35">[1]Feuil4!$F$3:$F$4</definedName>
    <definedName name="Choix_capacité" localSheetId="33">[1]Feuil4!$F$3:$F$4</definedName>
    <definedName name="Choix_capacité">Feuil4!$F$3:$F$4</definedName>
  </definedNames>
  <calcPr calcId="162913" concurrentCalc="0"/>
</workbook>
</file>

<file path=xl/calcChain.xml><?xml version="1.0" encoding="utf-8"?>
<calcChain xmlns="http://schemas.openxmlformats.org/spreadsheetml/2006/main">
  <c r="P25" i="64" l="1"/>
  <c r="P24" i="64"/>
  <c r="P23" i="64"/>
  <c r="P20" i="64"/>
  <c r="P15" i="64"/>
  <c r="P14" i="64"/>
  <c r="P13" i="64"/>
  <c r="P24" i="49"/>
  <c r="P23" i="49"/>
  <c r="P22" i="49"/>
  <c r="P21" i="49"/>
  <c r="P19" i="49"/>
  <c r="P18" i="49"/>
  <c r="P17" i="49"/>
  <c r="P16" i="49"/>
  <c r="P14" i="49"/>
  <c r="P13" i="49"/>
  <c r="P12" i="49"/>
  <c r="P11"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7" authorId="0" shapeId="0" xr:uid="{00000000-0006-0000-0200-000001000000}">
      <text>
        <r>
          <rPr>
            <b/>
            <sz val="9"/>
            <color indexed="81"/>
            <rFont val="Tahoma"/>
            <family val="2"/>
          </rPr>
          <t>Niveaux :
- 1 : sensibilisation
- 2 : appropriation
- 3 : maîtrise</t>
        </r>
      </text>
    </comment>
    <comment ref="P7" authorId="0" shapeId="0" xr:uid="{00000000-0006-0000-02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7" authorId="0" shapeId="0" xr:uid="{00000000-0006-0000-0300-000001000000}">
      <text>
        <r>
          <rPr>
            <b/>
            <sz val="9"/>
            <color indexed="81"/>
            <rFont val="Tahoma"/>
            <family val="2"/>
          </rPr>
          <t>Niveaux :
- 1 : sensibilisation
- 2 : appropriation
- 3 : maîtrise</t>
        </r>
      </text>
    </comment>
    <comment ref="N7" authorId="0" shapeId="0" xr:uid="{00000000-0006-0000-03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0400-000001000000}">
      <text>
        <r>
          <rPr>
            <b/>
            <sz val="9"/>
            <color indexed="81"/>
            <rFont val="Tahoma"/>
            <family val="2"/>
          </rPr>
          <t>Niveaux :
- 1 : sensibilisation
- 2 : appropriation
- 3 : maîtrise</t>
        </r>
      </text>
    </comment>
    <comment ref="P8" authorId="0" shapeId="0" xr:uid="{00000000-0006-0000-04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0500-000001000000}">
      <text>
        <r>
          <rPr>
            <b/>
            <sz val="9"/>
            <color indexed="81"/>
            <rFont val="Tahoma"/>
            <family val="2"/>
          </rPr>
          <t>Niveaux :
- 1 : sensibilisation
- 2 : appropriation
- 3 : maîtrise</t>
        </r>
      </text>
    </comment>
    <comment ref="N8" authorId="0" shapeId="0" xr:uid="{00000000-0006-0000-05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0600-000001000000}">
      <text>
        <r>
          <rPr>
            <b/>
            <sz val="9"/>
            <color indexed="81"/>
            <rFont val="Tahoma"/>
            <family val="2"/>
          </rPr>
          <t>Niveaux :
- 1 : sensibilisation
- 2 : appropriation
- 3 : maîtrise</t>
        </r>
      </text>
    </comment>
    <comment ref="N8" authorId="0" shapeId="0" xr:uid="{00000000-0006-0000-06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0700-000001000000}">
      <text>
        <r>
          <rPr>
            <b/>
            <sz val="9"/>
            <color indexed="81"/>
            <rFont val="Tahoma"/>
            <family val="2"/>
          </rPr>
          <t>Niveaux :
- 1 : sensibilisation
- 2 : appropriation
- 3 : maîtrise</t>
        </r>
      </text>
    </comment>
    <comment ref="N8" authorId="0" shapeId="0" xr:uid="{00000000-0006-0000-07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0800-000001000000}">
      <text>
        <r>
          <rPr>
            <b/>
            <sz val="9"/>
            <color indexed="81"/>
            <rFont val="Tahoma"/>
            <family val="2"/>
          </rPr>
          <t>Niveaux :
- 1 : sensibilisation
- 2 : appropriation
- 3 : maîtrise</t>
        </r>
      </text>
    </comment>
    <comment ref="P8" authorId="0" shapeId="0" xr:uid="{00000000-0006-0000-08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K8" authorId="0" shapeId="0" xr:uid="{00000000-0006-0000-0900-000001000000}">
      <text>
        <r>
          <rPr>
            <b/>
            <sz val="9"/>
            <color indexed="81"/>
            <rFont val="Tahoma"/>
            <family val="2"/>
          </rPr>
          <t>Niveaux :
- 1 : sensibilisation
- 2 : appropriation
- 3 : maîtrise</t>
        </r>
      </text>
    </comment>
    <comment ref="L8" authorId="0" shapeId="0" xr:uid="{00000000-0006-0000-09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L8" authorId="0" shapeId="0" xr:uid="{00000000-0006-0000-0A00-000001000000}">
      <text>
        <r>
          <rPr>
            <b/>
            <sz val="9"/>
            <color indexed="81"/>
            <rFont val="Tahoma"/>
            <family val="2"/>
          </rPr>
          <t>Niveaux :
- 1 : sensibilisation
- 2 : appropriation
- 3 : maîtrise</t>
        </r>
      </text>
    </comment>
    <comment ref="M8" authorId="0" shapeId="0" xr:uid="{00000000-0006-0000-0A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0B00-000001000000}">
      <text>
        <r>
          <rPr>
            <b/>
            <sz val="9"/>
            <color indexed="81"/>
            <rFont val="Tahoma"/>
            <family val="2"/>
          </rPr>
          <t>Niveaux :
- 1 : sensibilisation
- 2 : appropriation
- 3 : maîtrise</t>
        </r>
      </text>
    </comment>
    <comment ref="P8" authorId="0" shapeId="0" xr:uid="{00000000-0006-0000-0B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0C00-000001000000}">
      <text>
        <r>
          <rPr>
            <b/>
            <sz val="9"/>
            <color indexed="81"/>
            <rFont val="Tahoma"/>
            <family val="2"/>
          </rPr>
          <t>Niveaux :
- 1 : sensibilisation
- 2 : appropriation
- 3 : maîtrise</t>
        </r>
      </text>
    </comment>
    <comment ref="N8" authorId="0" shapeId="0" xr:uid="{00000000-0006-0000-0C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0D00-000001000000}">
      <text>
        <r>
          <rPr>
            <b/>
            <sz val="9"/>
            <color indexed="81"/>
            <rFont val="Tahoma"/>
            <family val="2"/>
          </rPr>
          <t>Niveaux :
- 1 : sensibilisation
- 2 : appropriation
- 3 : maîtrise</t>
        </r>
      </text>
    </comment>
    <comment ref="N8" authorId="0" shapeId="0" xr:uid="{00000000-0006-0000-0D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0E00-000001000000}">
      <text>
        <r>
          <rPr>
            <b/>
            <sz val="9"/>
            <color indexed="81"/>
            <rFont val="Tahoma"/>
            <family val="2"/>
          </rPr>
          <t>Niveaux :
- 1 : sensibilisation
- 2 : appropriation
- 3 : maîtrise</t>
        </r>
      </text>
    </comment>
    <comment ref="N8" authorId="0" shapeId="0" xr:uid="{00000000-0006-0000-0E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K8" authorId="0" shapeId="0" xr:uid="{00000000-0006-0000-0F00-000001000000}">
      <text>
        <r>
          <rPr>
            <b/>
            <sz val="9"/>
            <color indexed="81"/>
            <rFont val="Tahoma"/>
            <family val="2"/>
          </rPr>
          <t>Niveaux :
- 1 : sensibilisation
- 2 : appropriation
- 3 : maîtrise</t>
        </r>
      </text>
    </comment>
    <comment ref="L8" authorId="0" shapeId="0" xr:uid="{00000000-0006-0000-0F00-000002000000}">
      <text>
        <r>
          <rPr>
            <b/>
            <sz val="9"/>
            <color rgb="FF000000"/>
            <rFont val="Tahoma"/>
            <family val="2"/>
          </rPr>
          <t xml:space="preserve">C : l’EC contribue à la progression de l’étudiant dans la compétence aux travers du développement et de l’évaluation de connaissances et de capacités.
</t>
        </r>
        <r>
          <rPr>
            <b/>
            <sz val="9"/>
            <color rgb="FF000000"/>
            <rFont val="Tahoma"/>
            <family val="2"/>
          </rPr>
          <t xml:space="preserve">
</t>
        </r>
        <r>
          <rPr>
            <b/>
            <sz val="9"/>
            <color rgb="FF000000"/>
            <rFont val="Tahoma"/>
            <family val="2"/>
          </rPr>
          <t>M : l’EC mobilise cette compétence mais ne contribue  pas  à  son développement aux travers de connaissances et de capacités travaillées et évaluées explicitement dans cet EC.</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1000-000001000000}">
      <text>
        <r>
          <rPr>
            <b/>
            <sz val="9"/>
            <color indexed="81"/>
            <rFont val="Tahoma"/>
            <family val="2"/>
          </rPr>
          <t>Niveaux :
- 1 : sensibilisation
- 2 : appropriation
- 3 : maîtrise</t>
        </r>
      </text>
    </comment>
    <comment ref="P8" authorId="0" shapeId="0" xr:uid="{00000000-0006-0000-10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N8" authorId="0" shapeId="0" xr:uid="{00000000-0006-0000-1100-000001000000}">
      <text>
        <r>
          <rPr>
            <b/>
            <sz val="9"/>
            <color indexed="81"/>
            <rFont val="Tahoma"/>
            <family val="2"/>
          </rPr>
          <t>Niveaux :
- 1 : sensibilisation
- 2 : appropriation
- 3 : maîtrise</t>
        </r>
      </text>
    </comment>
    <comment ref="O8" authorId="0" shapeId="0" xr:uid="{00000000-0006-0000-11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1200-000001000000}">
      <text>
        <r>
          <rPr>
            <b/>
            <sz val="9"/>
            <color indexed="81"/>
            <rFont val="Tahoma"/>
            <family val="2"/>
          </rPr>
          <t>Niveaux :
- 1 : sensibilisation
- 2 : appropriation
- 3 : maîtrise</t>
        </r>
      </text>
    </comment>
    <comment ref="P8" authorId="0" shapeId="0" xr:uid="{00000000-0006-0000-12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7" authorId="0" shapeId="0" xr:uid="{00000000-0006-0000-1300-000001000000}">
      <text>
        <r>
          <rPr>
            <b/>
            <sz val="9"/>
            <color indexed="81"/>
            <rFont val="Tahoma"/>
            <family val="2"/>
          </rPr>
          <t>Niveaux :
- 1 : sensibilisation
- 2 : appropriation
- 3 : maîtrise</t>
        </r>
      </text>
    </comment>
    <comment ref="P7" authorId="0" shapeId="0" xr:uid="{00000000-0006-0000-13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1400-000001000000}">
      <text>
        <r>
          <rPr>
            <b/>
            <sz val="9"/>
            <color indexed="81"/>
            <rFont val="Tahoma"/>
            <family val="2"/>
          </rPr>
          <t>Niveaux :
- 1 : sensibilisation
- 2 : appropriation
- 3 : maîtrise</t>
        </r>
      </text>
    </comment>
    <comment ref="N8" authorId="0" shapeId="0" xr:uid="{00000000-0006-0000-14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1500-000001000000}">
      <text>
        <r>
          <rPr>
            <b/>
            <sz val="9"/>
            <color indexed="81"/>
            <rFont val="Tahoma"/>
            <family val="2"/>
          </rPr>
          <t>Niveaux :
- 1 : sensibilisation
- 2 : appropriation
- 3 : maîtrise</t>
        </r>
      </text>
    </comment>
    <comment ref="N8" authorId="0" shapeId="0" xr:uid="{00000000-0006-0000-15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1600-000001000000}">
      <text>
        <r>
          <rPr>
            <b/>
            <sz val="9"/>
            <color indexed="81"/>
            <rFont val="Tahoma"/>
            <family val="2"/>
          </rPr>
          <t>Niveaux :
- 1 : sensibilisation
- 2 : appropriation
- 3 : maîtrise</t>
        </r>
      </text>
    </comment>
    <comment ref="N8" authorId="0" shapeId="0" xr:uid="{00000000-0006-0000-16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K8" authorId="0" shapeId="0" xr:uid="{00000000-0006-0000-1700-000001000000}">
      <text>
        <r>
          <rPr>
            <b/>
            <sz val="9"/>
            <color indexed="81"/>
            <rFont val="Tahoma"/>
            <family val="2"/>
          </rPr>
          <t>Niveaux :
- 1 : sensibilisation
- 2 : appropriation
- 3 : maîtrise</t>
        </r>
      </text>
    </comment>
    <comment ref="L8" authorId="0" shapeId="0" xr:uid="{00000000-0006-0000-17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L8" authorId="0" shapeId="0" xr:uid="{00000000-0006-0000-1800-000001000000}">
      <text>
        <r>
          <rPr>
            <b/>
            <sz val="9"/>
            <color indexed="81"/>
            <rFont val="Tahoma"/>
            <family val="2"/>
          </rPr>
          <t>Niveaux :
- 1 : sensibilisation
- 2 : appropriation
- 3 : maîtrise</t>
        </r>
      </text>
    </comment>
    <comment ref="M8" authorId="0" shapeId="0" xr:uid="{00000000-0006-0000-18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1900-000001000000}">
      <text>
        <r>
          <rPr>
            <b/>
            <sz val="9"/>
            <color indexed="81"/>
            <rFont val="Tahoma"/>
            <family val="2"/>
          </rPr>
          <t>Niveaux :
- 1 : sensibilisation
- 2 : appropriation
- 3 : maîtrise</t>
        </r>
      </text>
    </comment>
    <comment ref="P8" authorId="0" shapeId="0" xr:uid="{00000000-0006-0000-19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1A00-000001000000}">
      <text>
        <r>
          <rPr>
            <b/>
            <sz val="9"/>
            <color indexed="81"/>
            <rFont val="Tahoma"/>
            <family val="2"/>
          </rPr>
          <t>Niveaux :
- 1 : sensibilisation
- 2 : appropriation
- 3 : maîtrise</t>
        </r>
      </text>
    </comment>
    <comment ref="P8" authorId="0" shapeId="0" xr:uid="{00000000-0006-0000-1A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1B00-000001000000}">
      <text>
        <r>
          <rPr>
            <b/>
            <sz val="9"/>
            <color indexed="81"/>
            <rFont val="Tahoma"/>
            <family val="2"/>
          </rPr>
          <t>Niveaux :
- 1 : sensibilisation
- 2 : appropriation
- 3 : maîtrise</t>
        </r>
      </text>
    </comment>
    <comment ref="N8" authorId="0" shapeId="0" xr:uid="{00000000-0006-0000-1B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1C00-000001000000}">
      <text>
        <r>
          <rPr>
            <b/>
            <sz val="9"/>
            <color indexed="81"/>
            <rFont val="Tahoma"/>
            <family val="2"/>
          </rPr>
          <t>Niveaux :
- 1 : sensibilisation
- 2 : appropriation
- 3 : maîtrise</t>
        </r>
      </text>
    </comment>
    <comment ref="N8" authorId="0" shapeId="0" xr:uid="{00000000-0006-0000-1C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K8" authorId="0" shapeId="0" xr:uid="{00000000-0006-0000-1D00-000001000000}">
      <text>
        <r>
          <rPr>
            <b/>
            <sz val="9"/>
            <color indexed="81"/>
            <rFont val="Tahoma"/>
            <family val="2"/>
          </rPr>
          <t>Niveaux :
- 1 : sensibilisation
- 2 : appropriation
- 3 : maîtrise</t>
        </r>
      </text>
    </comment>
    <comment ref="L8" authorId="0" shapeId="0" xr:uid="{00000000-0006-0000-1D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7" authorId="0" shapeId="0" xr:uid="{00000000-0006-0000-1E00-000001000000}">
      <text>
        <r>
          <rPr>
            <b/>
            <sz val="9"/>
            <color indexed="81"/>
            <rFont val="Tahoma"/>
            <family val="2"/>
          </rPr>
          <t>Niveaux :
- 1 : sensibilisation
- 2 : appropriation
- 3 : maîtrise</t>
        </r>
      </text>
    </comment>
    <comment ref="N7" authorId="0" shapeId="0" xr:uid="{00000000-0006-0000-1E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7" authorId="0" shapeId="0" xr:uid="{00000000-0006-0000-1F00-000001000000}">
      <text>
        <r>
          <rPr>
            <b/>
            <sz val="9"/>
            <color indexed="81"/>
            <rFont val="Tahoma"/>
            <family val="2"/>
          </rPr>
          <t>Niveaux :
- 1 : sensibilisation
- 2 : appropriation
- 3 : maîtrise</t>
        </r>
      </text>
    </comment>
    <comment ref="P7" authorId="0" shapeId="0" xr:uid="{00000000-0006-0000-1F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2000-000001000000}">
      <text>
        <r>
          <rPr>
            <b/>
            <sz val="9"/>
            <color indexed="81"/>
            <rFont val="Tahoma"/>
            <family val="2"/>
          </rPr>
          <t>Niveaux :
- 1 : sensibilisation
- 2 : appropriation
- 3 : maîtrise</t>
        </r>
      </text>
    </comment>
    <comment ref="N8" authorId="0" shapeId="0" xr:uid="{00000000-0006-0000-20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2100-000001000000}">
      <text>
        <r>
          <rPr>
            <b/>
            <sz val="9"/>
            <color indexed="81"/>
            <rFont val="Tahoma"/>
            <family val="2"/>
          </rPr>
          <t>Niveaux :
- 1 : sensibilisation
- 2 : appropriation
- 3 : maîtrise</t>
        </r>
      </text>
    </comment>
    <comment ref="P8" authorId="0" shapeId="0" xr:uid="{00000000-0006-0000-21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2200-000001000000}">
      <text>
        <r>
          <rPr>
            <b/>
            <sz val="9"/>
            <color indexed="81"/>
            <rFont val="Tahoma"/>
            <family val="2"/>
          </rPr>
          <t>Niveaux :
- 1 : sensibilisation
- 2 : appropriation
- 3 : maîtrise</t>
        </r>
      </text>
    </comment>
    <comment ref="P8" authorId="0" shapeId="0" xr:uid="{00000000-0006-0000-22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O8" authorId="0" shapeId="0" xr:uid="{00000000-0006-0000-2300-000001000000}">
      <text>
        <r>
          <rPr>
            <b/>
            <sz val="9"/>
            <color indexed="81"/>
            <rFont val="Tahoma"/>
            <family val="2"/>
          </rPr>
          <t>Niveaux :
- 1 : sensibilisation
- 2 : appropriation
- 3 : maîtrise</t>
        </r>
      </text>
    </comment>
    <comment ref="P8" authorId="0" shapeId="0" xr:uid="{00000000-0006-0000-23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7" authorId="0" shapeId="0" xr:uid="{00000000-0006-0000-2400-000001000000}">
      <text>
        <r>
          <rPr>
            <b/>
            <sz val="9"/>
            <color indexed="81"/>
            <rFont val="Tahoma"/>
            <family val="2"/>
          </rPr>
          <t>Niveaux :
- 1 : sensibilisation
- 2 : appropriation
- 3 : maîtrise</t>
        </r>
      </text>
    </comment>
    <comment ref="N7" authorId="0" shapeId="0" xr:uid="{00000000-0006-0000-24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7" authorId="0" shapeId="0" xr:uid="{00000000-0006-0000-2500-000001000000}">
      <text>
        <r>
          <rPr>
            <b/>
            <sz val="9"/>
            <color indexed="81"/>
            <rFont val="Tahoma"/>
            <family val="2"/>
          </rPr>
          <t>Niveaux :
- 1 : sensibilisation
- 2 : appropriation
- 3 : maîtrise</t>
        </r>
      </text>
    </comment>
    <comment ref="N7" authorId="0" shapeId="0" xr:uid="{00000000-0006-0000-25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8" authorId="0" shapeId="0" xr:uid="{00000000-0006-0000-2600-000001000000}">
      <text>
        <r>
          <rPr>
            <b/>
            <sz val="9"/>
            <color rgb="FF000000"/>
            <rFont val="Tahoma"/>
            <family val="2"/>
          </rPr>
          <t>Niveaux :
- 1 : sensibilisation
- 2 : appropriation
- 3 : maîtrise</t>
        </r>
      </text>
    </comment>
    <comment ref="N8" authorId="0" shapeId="0" xr:uid="{00000000-0006-0000-2600-000002000000}">
      <text>
        <r>
          <rPr>
            <b/>
            <sz val="9"/>
            <color rgb="FF000000"/>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Claudine Gehin</author>
  </authors>
  <commentList>
    <comment ref="M4" authorId="0" shapeId="0" xr:uid="{00000000-0006-0000-2700-000001000000}">
      <text>
        <r>
          <rPr>
            <b/>
            <sz val="9"/>
            <color indexed="81"/>
            <rFont val="Tahoma"/>
            <family val="2"/>
          </rPr>
          <t>Niveaux :
- 1 : sensibilisation
- 2 : appropriation
- 3 : maîtrise</t>
        </r>
      </text>
    </comment>
    <comment ref="N4" authorId="0" shapeId="0" xr:uid="{00000000-0006-0000-2700-000002000000}">
      <text>
        <r>
          <rPr>
            <b/>
            <sz val="9"/>
            <color indexed="81"/>
            <rFont val="Tahoma"/>
            <family val="2"/>
          </rPr>
          <t>C : l’EC contribue à la progression de l’étudiant dans la compétence aux travers du développement et de l’évaluation de connaissances et de capacités.
M : l’EC mobilise cette compétence mais ne contribue  pas  à  son développement aux travers de connaissances et de capacités travaillées et évaluées explicitement dans cet EC.</t>
        </r>
      </text>
    </comment>
  </commentList>
</comments>
</file>

<file path=xl/sharedStrings.xml><?xml version="1.0" encoding="utf-8"?>
<sst xmlns="http://schemas.openxmlformats.org/spreadsheetml/2006/main" count="5365" uniqueCount="1465">
  <si>
    <t xml:space="preserve">Electronique et Capteurs 1 </t>
  </si>
  <si>
    <t>IF1</t>
  </si>
  <si>
    <t>Electronique de puissance et Electrotechnique 1</t>
  </si>
  <si>
    <t>SSMT</t>
  </si>
  <si>
    <t xml:space="preserve">Signaux, Systèmes et Mathématique des Transformées </t>
  </si>
  <si>
    <t>ETEP1</t>
  </si>
  <si>
    <t>EC1</t>
  </si>
  <si>
    <t>Télécommunications 1</t>
  </si>
  <si>
    <t>TC1</t>
  </si>
  <si>
    <t xml:space="preserve">Informatique 1 </t>
  </si>
  <si>
    <t xml:space="preserve">Mathématiques 1 </t>
  </si>
  <si>
    <t>MA1</t>
  </si>
  <si>
    <t xml:space="preserve">Automatique 1 </t>
  </si>
  <si>
    <t>AU1</t>
  </si>
  <si>
    <t>Electronique de puissance et Electrotechnique 2</t>
  </si>
  <si>
    <t>ETEP2</t>
  </si>
  <si>
    <t>Electronique et Capteurs 2</t>
  </si>
  <si>
    <t>EC2</t>
  </si>
  <si>
    <t>Transferts Thermiques</t>
  </si>
  <si>
    <t>TT</t>
  </si>
  <si>
    <t>Informatique 2</t>
  </si>
  <si>
    <t>IF2</t>
  </si>
  <si>
    <t>Mathématiques 2</t>
  </si>
  <si>
    <t>MA2</t>
  </si>
  <si>
    <t>AU2</t>
  </si>
  <si>
    <t>Automatique 2 Continue</t>
  </si>
  <si>
    <t>Automatique 3 SED</t>
  </si>
  <si>
    <t>AU3</t>
  </si>
  <si>
    <t>Electronique de puissance et Electrotechnique 3</t>
  </si>
  <si>
    <t>ETEP3</t>
  </si>
  <si>
    <t xml:space="preserve">Traitement du signal </t>
  </si>
  <si>
    <t>TS</t>
  </si>
  <si>
    <t>Informatique 3</t>
  </si>
  <si>
    <t>IF3</t>
  </si>
  <si>
    <t>Télécommunications 2</t>
  </si>
  <si>
    <t>TC2</t>
  </si>
  <si>
    <t>Mathématiques 3</t>
  </si>
  <si>
    <t>MA3</t>
  </si>
  <si>
    <t>Projet 1</t>
  </si>
  <si>
    <t>PRT</t>
  </si>
  <si>
    <t>Stage</t>
  </si>
  <si>
    <t>Informatique 4</t>
  </si>
  <si>
    <t>IF4</t>
  </si>
  <si>
    <t>Automatique 4</t>
  </si>
  <si>
    <t>AU4</t>
  </si>
  <si>
    <t>Télécommunications 3</t>
  </si>
  <si>
    <t>TC3</t>
  </si>
  <si>
    <t>Mathématiques 4</t>
  </si>
  <si>
    <t>MA4</t>
  </si>
  <si>
    <t>Electronique et Capteurs 3</t>
  </si>
  <si>
    <t>EC3</t>
  </si>
  <si>
    <t xml:space="preserve">Travaux Pratiques Transversaux </t>
  </si>
  <si>
    <t>TPTR</t>
  </si>
  <si>
    <t xml:space="preserve">Projet de fin d'études </t>
  </si>
  <si>
    <t>PFE</t>
  </si>
  <si>
    <t>Crédits</t>
  </si>
  <si>
    <t>Etre capable d'observer, d'identifier, de mesurer, d'expérimenter</t>
  </si>
  <si>
    <t>Etre capable d'analyser, formaliser ou modéliser</t>
  </si>
  <si>
    <t>Sem 5</t>
  </si>
  <si>
    <t>Sem 6</t>
  </si>
  <si>
    <t>Sem 7-8</t>
  </si>
  <si>
    <t>Sem 9</t>
  </si>
  <si>
    <t>Nbe h.</t>
  </si>
  <si>
    <t>Etre capable de collecter, analyser et interpréter des données</t>
  </si>
  <si>
    <t>Concevoir et réaliser des systèmes électroniques pour l'acquisition, le traitement, la commande et la communication de données</t>
  </si>
  <si>
    <t>Etre apte à travailler en contexte international</t>
  </si>
  <si>
    <t>COMPETENCES DES SCIENCES FONDAMENTALES</t>
  </si>
  <si>
    <t>COMPETENCES SPECIFIQUES DE LA SPECIALITE</t>
  </si>
  <si>
    <t>Option C2E</t>
  </si>
  <si>
    <t>Option SEI</t>
  </si>
  <si>
    <r>
      <rPr>
        <sz val="7"/>
        <color theme="3"/>
        <rFont val="Times New Roman"/>
        <family val="1"/>
      </rPr>
      <t xml:space="preserve"> </t>
    </r>
    <r>
      <rPr>
        <sz val="11"/>
        <color theme="3"/>
        <rFont val="Calibri"/>
        <family val="2"/>
        <scheme val="minor"/>
      </rPr>
      <t>Etre capable de résoudre un problème en maîtrisant les limites</t>
    </r>
  </si>
  <si>
    <t>Concevoir et développer des logiciels haut et bas niveau pour des systèmes  (traitement et gestion de l’information)</t>
  </si>
  <si>
    <t>Option TDSI</t>
  </si>
  <si>
    <t>Option ISIP</t>
  </si>
  <si>
    <t>Prendre en compte les enjeux énergétiques dans l’optique du développement durable</t>
  </si>
  <si>
    <t xml:space="preserve">Mettre en œuvre les différentes phases de gestion d’un projet </t>
  </si>
  <si>
    <t xml:space="preserve">Savoir analyser et rédiger des documents professionnels </t>
  </si>
  <si>
    <t>Mener une réflexion personnelle dans le cadre de son projet professionnel</t>
  </si>
  <si>
    <t>SAVOIR INTEGRER LES 
ENJEUX DE L'ENTREPRISE</t>
  </si>
  <si>
    <t>DEVELOPPEMENT 
PERSONNEL</t>
  </si>
  <si>
    <t>Savoir utiliser les outils informatiques de l'ingénieur et connaître leurs limites</t>
  </si>
  <si>
    <t>✻</t>
  </si>
  <si>
    <t>✻: niveau spécifique dépendant des choix de l'étudiant</t>
  </si>
  <si>
    <r>
      <rPr>
        <b/>
        <sz val="12"/>
        <color theme="1"/>
        <rFont val="Calibri"/>
        <family val="2"/>
        <scheme val="minor"/>
      </rPr>
      <t>Niveaux</t>
    </r>
    <r>
      <rPr>
        <sz val="12"/>
        <color theme="1"/>
        <rFont val="Calibri"/>
        <family val="2"/>
        <scheme val="minor"/>
      </rPr>
      <t xml:space="preserve"> :
- 1 : sensibilisation
- 2 : appropriation
- 3 : maîtrise</t>
    </r>
  </si>
  <si>
    <t>Humanités 1</t>
  </si>
  <si>
    <t>HU1</t>
  </si>
  <si>
    <t>Humanités 2</t>
  </si>
  <si>
    <t>HU2</t>
  </si>
  <si>
    <t>Humanités 3</t>
  </si>
  <si>
    <t>HU3</t>
  </si>
  <si>
    <t>Être capable de s'intégrer dans une équipe, de l’animer, de l'organiser et de la faire évoluer</t>
  </si>
  <si>
    <r>
      <rPr>
        <sz val="7"/>
        <color theme="1"/>
        <rFont val="Times New Roman"/>
        <family val="1"/>
      </rPr>
      <t xml:space="preserve"> </t>
    </r>
    <r>
      <rPr>
        <sz val="11"/>
        <color theme="1"/>
        <rFont val="Calibri"/>
        <family val="2"/>
        <scheme val="minor"/>
      </rPr>
      <t>Être capable de communiquer oralement en s'adaptant à son interlocuteur</t>
    </r>
  </si>
  <si>
    <r>
      <rPr>
        <sz val="11"/>
        <color theme="1"/>
        <rFont val="Calibri"/>
        <family val="2"/>
        <scheme val="minor"/>
      </rPr>
      <t>Savoir s'organiser (gestion du temps)</t>
    </r>
  </si>
  <si>
    <t>Construire une réflexion éthique pour prendre en compte les enjeux sociétaux</t>
  </si>
  <si>
    <t>Prendre en compte les enjeux industriels et économiques</t>
  </si>
  <si>
    <t>Comprendre les enjeux et le management de l'innovation</t>
  </si>
  <si>
    <t>Humanités 4</t>
  </si>
  <si>
    <t>HU4</t>
  </si>
  <si>
    <t>Partenariat entreprise Projet et accompagnement dans la formalisation du projet professionnel</t>
  </si>
  <si>
    <t>UE31</t>
  </si>
  <si>
    <t>UE32</t>
  </si>
  <si>
    <t>UE33</t>
  </si>
  <si>
    <t>UE34</t>
  </si>
  <si>
    <t>UE35</t>
  </si>
  <si>
    <t>UE36</t>
  </si>
  <si>
    <t xml:space="preserve">3GE </t>
  </si>
  <si>
    <t>4GE</t>
  </si>
  <si>
    <t xml:space="preserve">5GE </t>
  </si>
  <si>
    <t>UE41</t>
  </si>
  <si>
    <t>UE42</t>
  </si>
  <si>
    <t>UE43</t>
  </si>
  <si>
    <t>UE44</t>
  </si>
  <si>
    <t>UE51</t>
  </si>
  <si>
    <t>UE52</t>
  </si>
  <si>
    <t>UE53</t>
  </si>
  <si>
    <t>UE54</t>
  </si>
  <si>
    <t>Option</t>
  </si>
  <si>
    <t>UE56</t>
  </si>
  <si>
    <t>Sem 10</t>
  </si>
  <si>
    <t>5GE</t>
  </si>
  <si>
    <t>UE55</t>
  </si>
  <si>
    <t>Option transversale</t>
  </si>
  <si>
    <t>OT</t>
  </si>
  <si>
    <t>DEPARTEMENT GE - MATRICE DE COMPETENCES</t>
  </si>
  <si>
    <t>Spécifier, modéliser et concevoir les méthodes et algorithmes pour le traitement et la gestion de l'information véhiculée par les signaux et les images</t>
  </si>
  <si>
    <t>Niveau de la compétence</t>
  </si>
  <si>
    <t>Intitulé de l'EC</t>
  </si>
  <si>
    <t>Compétence 1</t>
  </si>
  <si>
    <t>Compétence 2</t>
  </si>
  <si>
    <t>Compétence 3</t>
  </si>
  <si>
    <t>Mots-clés</t>
  </si>
  <si>
    <t>Informatique 1</t>
  </si>
  <si>
    <t>Automatique 1</t>
  </si>
  <si>
    <t xml:space="preserve">Cahier des charges et Analyse Fonctionnelle (GEMMA) </t>
  </si>
  <si>
    <t xml:space="preserve">Rappels GRAFCET </t>
  </si>
  <si>
    <t>Présentation Unity</t>
  </si>
  <si>
    <t xml:space="preserve">Eléments de systèmes Electriques : R, L, C </t>
  </si>
  <si>
    <t xml:space="preserve">Passage représentation d’état-FT / Bond-Graph </t>
  </si>
  <si>
    <t xml:space="preserve">Analyse des systèmes linéaires </t>
  </si>
  <si>
    <t>P, PI, PD, avance de phase, retard de phase, PID, PID filtré</t>
  </si>
  <si>
    <t>Compétence 4</t>
  </si>
  <si>
    <t>Compétence 5</t>
  </si>
  <si>
    <t>Modéliser (niveau 2/3)</t>
  </si>
  <si>
    <t>Mathématiques 1</t>
  </si>
  <si>
    <t>Savoir s'organiser (gestion du temps)</t>
  </si>
  <si>
    <t>Compétence 6</t>
  </si>
  <si>
    <t>Architectures des microcontrôleurs et à base de microcontrôleurs</t>
  </si>
  <si>
    <t>IDE et compilation croisée, débogage distant</t>
  </si>
  <si>
    <t>Algorithmes, fonctionnement des I/O et modules spécifiques des microcontroleurs</t>
  </si>
  <si>
    <t>Automatique 2</t>
  </si>
  <si>
    <t xml:space="preserve">Robustesse (les marges), Fonctions de sensibilité </t>
  </si>
  <si>
    <t xml:space="preserve">Spécification de CdC </t>
  </si>
  <si>
    <t xml:space="preserve">Commande par modèle interne </t>
  </si>
  <si>
    <t xml:space="preserve">Commande RST </t>
  </si>
  <si>
    <t>Automatique 3</t>
  </si>
  <si>
    <t>Traitement du Signal</t>
  </si>
  <si>
    <t>Etre capable de mettre en œuvre des principes et stratégies de gestion des utilisateurs</t>
  </si>
  <si>
    <t xml:space="preserve">Système linéaire : Approche d’état versus Approche Entrée/Sortie </t>
  </si>
  <si>
    <t xml:space="preserve">Stabilité interne / stabilité externe </t>
  </si>
  <si>
    <t xml:space="preserve">Commandabilité </t>
  </si>
  <si>
    <t xml:space="preserve">Observabilité </t>
  </si>
  <si>
    <t xml:space="preserve">Commande par retour d’état </t>
  </si>
  <si>
    <t xml:space="preserve">Synthèse d’observateur </t>
  </si>
  <si>
    <t xml:space="preserve">Commande par retour d’état reconstruit </t>
  </si>
  <si>
    <t>Circuits RF &amp; Antennes</t>
  </si>
  <si>
    <t>Réseaux et Protocoles</t>
  </si>
  <si>
    <t>Relations Composants Circuits - propriétés &amp; caractéristiques (niveau 1/3)</t>
  </si>
  <si>
    <t>Relations Circuits Systèmes propriétés &amp; caractéristiques (niveau 3/3)</t>
  </si>
  <si>
    <t>Applications &amp; protocoles (niveau 2/3)</t>
  </si>
  <si>
    <t>Concevoir &amp; développer (niveau 2/3)</t>
  </si>
  <si>
    <t>Modéliser (niveau 3/3)</t>
  </si>
  <si>
    <t>Innover et recherche (niveau 1 ou 2/3)</t>
  </si>
  <si>
    <t>Relations Circuits Systèmes propriétés &amp; caractéristiques (niveau 2/3)</t>
  </si>
  <si>
    <t>Applications &amp; protocoles (niveau 3/3)</t>
  </si>
  <si>
    <t>*</t>
  </si>
  <si>
    <t>U53</t>
  </si>
  <si>
    <t>OBJECTIFS RECHERCHÉS PAR CET ENSEIGNEMENT</t>
  </si>
  <si>
    <t>Savoir calculer les transformées de signaux usuels</t>
  </si>
  <si>
    <t>Savoir appliquer les transformées de Laplace et z à la résolution des équations différentielles et aux différences</t>
  </si>
  <si>
    <t>Savoir manipuler les signaux et calculer les grandeurs caractéristiques de ces signaux</t>
  </si>
  <si>
    <t>Etre capable de déterminer les propriétés d'un système discret ou continu</t>
  </si>
  <si>
    <t>Savoir déterminer la réponse impulsionnelle d'un système et sa réponse harmonique</t>
  </si>
  <si>
    <t>Savoir mettre en équation un système continu ou discret</t>
  </si>
  <si>
    <t>FICHE ECTS ACTUELLE</t>
  </si>
  <si>
    <t>Comprendre l'interaction entrée sortie du système</t>
  </si>
  <si>
    <t>Etre capable d'analyser le comportement interne du système en temps et en fréquence</t>
  </si>
  <si>
    <t>PROGRAMME</t>
  </si>
  <si>
    <t>Partie 1 : Mathématiques des transformées</t>
  </si>
  <si>
    <t>Partie 3 : Etude des systèmes</t>
  </si>
  <si>
    <t>Application des transformées de Laplace et z à la résolution des équations différentielles et récurrentes</t>
  </si>
  <si>
    <t>Application de la transformée de Fourier à l¿analyse de signaux usuels</t>
  </si>
  <si>
    <t>Propriétés des transformées de Fourier, Laplace, z</t>
  </si>
  <si>
    <t>Partie 2 : Introduction aux signaux et systèmes propriétés des signaux continus et discrets</t>
  </si>
  <si>
    <t>Systèmes régis par des équations différentielles ou aux différences</t>
  </si>
  <si>
    <t>Comportement des systèmes continus et discrets du 1er et 2ème ordre</t>
  </si>
  <si>
    <t>Régime forcé, régime libre, fonction de transfert, stabilité</t>
  </si>
  <si>
    <t>Méthode des variables d¿état</t>
  </si>
  <si>
    <t>Produit scalaire des signaux, énergie, puissance, fonction de corrélation</t>
  </si>
  <si>
    <t>Systèmes linéaires et invariants, convolution, réponse impulsionnelle, stabilité</t>
  </si>
  <si>
    <t>Réponse harmonique, réponse à une entrée harmonique</t>
  </si>
  <si>
    <t>Association de systèmes, parallèle, cascade, système inverse, contre-réaction</t>
  </si>
  <si>
    <t>Design de dispositifs d'adaptation</t>
  </si>
  <si>
    <t>OBJECTIFS :</t>
  </si>
  <si>
    <t>Cours : Généralités sur les transmissions et les systèmes hautes fréquences. Différentes structures de</t>
  </si>
  <si>
    <t>lignes. Équations des télégraphistes et solutions. Lignes en régime sinusoïdal. Ligne fermée sur une charge</t>
  </si>
  <si>
    <t>(régimes d'ondes). Abaque de Smith. Paramètres S. Dispositifs d'adaptation d'impédances. Ligne en régime</t>
  </si>
  <si>
    <t>impulsionnel. Propagation en espace libre. Liaison radio.</t>
  </si>
  <si>
    <t>TD : application ligne bifilaire (ADSL), ligne coaxiale et ligne microstrip.</t>
  </si>
  <si>
    <t>TP : simulation sous ADS de lignes microstrip : adaptation, filtrage.</t>
  </si>
  <si>
    <t>Première version du document de synthèse des compétences pour la CTI</t>
  </si>
  <si>
    <t xml:space="preserve">Propagation filaire et Hertzienne
</t>
  </si>
  <si>
    <t>Méthodes de résolution de systèmes d'équations linéaires</t>
  </si>
  <si>
    <t>Acquérir les bases des mathématiques générales et appliquées pour les sciences de l'ingénieur</t>
  </si>
  <si>
    <t>Espaces de Hilbert, Séries de Fourier, Distributions</t>
  </si>
  <si>
    <t>Interpolation et Approximation, Intégration numérique,</t>
  </si>
  <si>
    <t>L'énergie électrique et son transport au sein d'un réseau monophasé et triphasé équilibrés</t>
  </si>
  <si>
    <t>la puissance électrique sur charges linéaires</t>
  </si>
  <si>
    <t>la puissance électrique sur charge non linéaires</t>
  </si>
  <si>
    <t>Rappels de magnétisme</t>
  </si>
  <si>
    <t>Circuits et matériaux magnétiques</t>
  </si>
  <si>
    <t>inductance et entrefer</t>
  </si>
  <si>
    <t>Aimant et électroaimant</t>
  </si>
  <si>
    <t>Bases de conversion électromécanique</t>
  </si>
  <si>
    <t>Machine DC : principe de fonctionnement dans les 4 quadrants, modélisation en régime permanent, démarrage et variation de vitesse</t>
  </si>
  <si>
    <t>COMPETENCES :</t>
  </si>
  <si>
    <t>Physique du semi-conducteur et composants actifs</t>
  </si>
  <si>
    <t>Circuits fondamentaux</t>
  </si>
  <si>
    <t>HU1 et HU2 sont deux unités liées. Il s'agira, pour l'étudiant, de mener à bien, et en équipe, un projet de</t>
  </si>
  <si>
    <t>création d'entreprise, de la définition d'un concept de produit jusqu'à la réalisation d'un plan d'affaire.</t>
  </si>
  <si>
    <t>Savoir structurer un projet et manager une équipe.</t>
  </si>
  <si>
    <t>Savoir réaliser une analyse fonctionnelle d'un produit ou service nouveau.</t>
  </si>
  <si>
    <t>Savoir réaliser une veille technologique.</t>
  </si>
  <si>
    <t>Savoir réaliser un plan de marchéage et un plan d'affaire.</t>
  </si>
  <si>
    <t>Savoir communiquer sur son produit ou sur son projet.</t>
  </si>
  <si>
    <t>Savoir mener une réflexion éthique sur son produit.</t>
  </si>
  <si>
    <t>Les séances de HU1 et HUI2 entrelacent des cours portant sur des aspects précis (qu'est-ce qu'une analyse</t>
  </si>
  <si>
    <t>fonctionnelle ? Un plan projet ? Une étude de marché ? Un plan de marchéage ? Etc.) et des travaux réalisés</t>
  </si>
  <si>
    <t>en équipe, avec le tutorat de l'enseignant.</t>
  </si>
  <si>
    <t>Cours : Mesures de température (capteurs et conditionneurs de signaux associés)</t>
  </si>
  <si>
    <t>Mécanismes de transferts de la chaleur : conduction, convection, rayonnement</t>
  </si>
  <si>
    <t>Modélisation par schémas électriques équivalents</t>
  </si>
  <si>
    <t>Méthode des différences finies</t>
  </si>
  <si>
    <t>Refroidissement d'un composant VLSI (Very Large Scale Integration Circuit, Modélisation par éléments finis</t>
  </si>
  <si>
    <t>Mesures de température utilisant une sonde Pt 100</t>
  </si>
  <si>
    <t>TD : Applications à différents problèmes propres à la dissipation de la chaleur dans le domaine du Génie Electrique.</t>
  </si>
  <si>
    <t>TP : Etude du rayonnement thermique, Facteur d'émission dans l'Infra-rouge- effet de serre-loi de Stefan-Boltzmann</t>
  </si>
  <si>
    <t>Mathématiques générales : fonctions d'une variable complexe, équations aux dérivées partielles, Initiation</t>
  </si>
  <si>
    <t>aux probabilités</t>
  </si>
  <si>
    <t>Analyse numérique : méthodes de résolution d'équations non linéaires, méthodes numériques pour les</t>
  </si>
  <si>
    <t>Transformateurs statiques monophasé et triphasé(C/TD/TP)</t>
  </si>
  <si>
    <t>Redresseurs et onduleurs non autonomes (C/TD/TP)</t>
  </si>
  <si>
    <t>Réseaux déséquilibré - Composantes symétriques (C/TD/TP)</t>
  </si>
  <si>
    <t>Induction magnétique tournante (C/TD)</t>
  </si>
  <si>
    <t>Machine asynchrone (principe, modélisation en régime permanent, démarrage et variation de vitesse en</t>
  </si>
  <si>
    <t>contrôle scalaire) (C/TD/TP)</t>
  </si>
  <si>
    <t>Machine synchrone (principe, diagramme bipolaire) (C/TD/TP)</t>
  </si>
  <si>
    <t>Machine à courant continu (TP)</t>
  </si>
  <si>
    <t>Régimes non-linéaires' perturbations harmoniques (TP)</t>
  </si>
  <si>
    <t>L'informatique embarquée (généralités).</t>
  </si>
  <si>
    <t>Le modèle de Von Neumann d'un calculateur .</t>
  </si>
  <si>
    <t>Du « hardware » au « software » : principe de la structure `multi-couches imbriquées' des systèmes</t>
  </si>
  <si>
    <t>informatiques (ALU, mémoire, bus et périphériques).</t>
  </si>
  <si>
    <t>Exemple de la famille des micro-contrôleurs Microchip (16F877): architecture, adressage, cycles et</t>
  </si>
  <si>
    <t>chronogrammes.</t>
  </si>
  <si>
    <t>Principe des entrées / sorties d'un micro-contrôleur : aspect matériel et logiciel (ports I/O, TIMER, Port série).</t>
  </si>
  <si>
    <t>Structuration d'un programme assembleur au niveau syntaxique: directives et déclarations usuelles, tâches</t>
  </si>
  <si>
    <t>et procédures. Outils de développement.</t>
  </si>
  <si>
    <t>Probabilités, probabilités conditionnelles (cf MA2)</t>
  </si>
  <si>
    <t>Statistiques descriptives</t>
  </si>
  <si>
    <t>Variables et vecteurs aléatoires, moments</t>
  </si>
  <si>
    <t>Lois des grands nombres et Théorème central limite</t>
  </si>
  <si>
    <t>Echantillonnage</t>
  </si>
  <si>
    <t>Estimation (max de vraisemblance, bayésien) et intervalles de confiance</t>
  </si>
  <si>
    <t>Tests d'hypothèses et d'ajustement</t>
  </si>
  <si>
    <t>Régression linéaire</t>
  </si>
  <si>
    <t>Introduction aux plans d'expériences</t>
  </si>
  <si>
    <t>Distributions classiques (discrètes, exponentielle, laplace-gauss) et distributions dérivées (gamma, chideux,...)</t>
  </si>
  <si>
    <t>COMPETENCES et OBJECTIFS:</t>
  </si>
  <si>
    <t>Comprendre l'acquisition et la restitution des signaux analogiques et numériques</t>
  </si>
  <si>
    <t>Modéliser et dimensionner une chaîne d'acquisition et de restitution des signaux analogiques et numériques</t>
  </si>
  <si>
    <t>Modéliser un problème de filtrage et de synthétiser un filtre analogique ou numérique</t>
  </si>
  <si>
    <t>Calculer les composants d'un filtre analogique actif à partir d'un gabarit</t>
  </si>
  <si>
    <t>Calculer les coefficients des filtres numériques FIR et IIR à partir d'un gabarit</t>
  </si>
  <si>
    <t>Programmer un filtre numérique</t>
  </si>
  <si>
    <t>Observer et d'analyser un signal, son spectre et le comportement des filtres</t>
  </si>
  <si>
    <t>Transformée de Fourier, Laplace et Z.</t>
  </si>
  <si>
    <t>Echantillonnage et restitution des signaux analogiques.</t>
  </si>
  <si>
    <t>Introduction aux processus aléatoires pour le traitement du signal.</t>
  </si>
  <si>
    <t>Corrélation et densité spectrale.</t>
  </si>
  <si>
    <t>Généralités sur le filtrage.</t>
  </si>
  <si>
    <t>Filtrage analogique.</t>
  </si>
  <si>
    <t>Filtres actifs.</t>
  </si>
  <si>
    <t>Filtrage numérique.</t>
  </si>
  <si>
    <t>Structure des filtres numériques.</t>
  </si>
  <si>
    <t>Filtres à réponse impulsionnelle infinie.</t>
  </si>
  <si>
    <t>Filtres à réponse impulsionnelle finie et à phase linéaire.</t>
  </si>
  <si>
    <t>Travaux pratiques analyse spectrale et filtrage</t>
  </si>
  <si>
    <t>Comprendre les principes de bases de la modélisation statistique du signal et les notions de corrélation et densité spectrale</t>
  </si>
  <si>
    <t>Savoir analyser un système constitué d'une machine électrique et de son alimentation</t>
  </si>
  <si>
    <t>Cours et travaux dirigés :</t>
  </si>
  <si>
    <t>Travaux pratiques :</t>
  </si>
  <si>
    <t>Le but de ce module est d'acquérir les principes de bases des systèmes de communication radiofréquence</t>
  </si>
  <si>
    <t>(RF) c'est-à-dire de l'amplification RF (faible bruit et puissance), la synthèse de fréquence (focalisation sur les</t>
  </si>
  <si>
    <t>oscillateurs), le mélange et les antennes.</t>
  </si>
  <si>
    <t>Les amplificateurs : stabilité, gain, linéarité, figure de bruit, ...</t>
  </si>
  <si>
    <t>Les oscillateurs : bande d'accord, bruit de phase, pulling, pushing, ...</t>
  </si>
  <si>
    <t>Les mélangeurs : isolation entre ports, directivité, linéarité, bruit, ...</t>
  </si>
  <si>
    <t>Introduction sur les architectures des récepteurs et d'émetteurs radio et sur les modulations numériques.</t>
  </si>
  <si>
    <t>Les antennes filaires : principes et applications, caractéristiques, bilan de liaison, groupement d'antennes ; les</t>
  </si>
  <si>
    <t>antennes patch, ...</t>
  </si>
  <si>
    <t>Travaux Pratiques :</t>
  </si>
  <si>
    <t>CAO / Test : amplificateur faible bruit et Front end radio (2 x 4h)</t>
  </si>
  <si>
    <t>CAO / Test : conception d'antennes patch pour système WiFi sous ADS (1 x 4h)</t>
  </si>
  <si>
    <t>Architecture de base des PC</t>
  </si>
  <si>
    <t>Architecture des processeurs X86 et compatibles</t>
  </si>
  <si>
    <t>Organisation et gestion des interruptions</t>
  </si>
  <si>
    <t>Gestion de la mémoire segmentée</t>
  </si>
  <si>
    <t>Jeu de registres</t>
  </si>
  <si>
    <t>Jeu d'instructions</t>
  </si>
  <si>
    <t>Gestion de la pile</t>
  </si>
  <si>
    <t>Programmation d'une application gérant les interruptions en langage machine en environnement PC de base.</t>
  </si>
  <si>
    <t>Programmation d'une application gérant les interruptions en langage machine sur un microcontroleur.</t>
  </si>
  <si>
    <t>Programmation orientée objet, UML, C++</t>
  </si>
  <si>
    <t>Acquérir une première expérience des concepts et des outils du management de l'innovation</t>
  </si>
  <si>
    <t>Ce module se décompose de deux sous modules :</t>
  </si>
  <si>
    <t>1. Un sous module d'analyse fonctionnelle qui vise à permettre aux élèves de :</t>
  </si>
  <si>
    <t>Approfondir la notion de besoin, et l'approche client</t>
  </si>
  <si>
    <t>Pratiquer l'analyse fonctionnelle externe et interne pour l'élaboration de cahiers des charges fonctionnels et</t>
  </si>
  <si>
    <t>de spécifications techniques</t>
  </si>
  <si>
    <t>Découvrir le concept et l'utilisation de l'analyse de la valeur et du management par la valeur</t>
  </si>
  <si>
    <t>2. Un sous module à choisir parmi 3 (nombre et contenu susceptibles d'évoluer avec le temps) permettant :</t>
  </si>
  <si>
    <t>M1 : Découvrir la propriété intellectuelle :</t>
  </si>
  <si>
    <t>Les différentes formes de propriété, les titres de propriété industrielle</t>
  </si>
  <si>
    <t>Les brevets : brevetabilité et liberté d'exploitation</t>
  </si>
  <si>
    <t>Le dépôt d'un brevet et sa valorisation</t>
  </si>
  <si>
    <t>M2 : S'initier à la veille stratégique et l'intelligence économique</t>
  </si>
  <si>
    <t>Les enjeux de la veille technologique, concurrentielle et commerciale</t>
  </si>
  <si>
    <t>La mise en oeuvre d'une politique de veille</t>
  </si>
  <si>
    <t>De la veille à l'intelligence économique</t>
  </si>
  <si>
    <t>Intelligence économique offensive, benchmarking</t>
  </si>
  <si>
    <t>M3 : Comprendre les processus de conception de produits innovants</t>
  </si>
  <si>
    <t>Comprendre le processus d'innovation</t>
  </si>
  <si>
    <t>Les modèles d'innovation : centré R et D ou centré conception</t>
  </si>
  <si>
    <t>Analyse du processus de conception, complexité et management de la conception</t>
  </si>
  <si>
    <t>Système d'exploitation multitâches, multi-utilisateurs (UNIX) :</t>
  </si>
  <si>
    <t>organisation, gestion multitâches, communication entre les tâches, gestion des événements et des</t>
  </si>
  <si>
    <t>ressources. Définition du temps réel. L'ordonnancement temps réel, les exécutifs temps réel.</t>
  </si>
  <si>
    <t>Algorithmes en théorie des graphes (problèmes de chemins, de flots, d'affectation)</t>
  </si>
  <si>
    <t>Méthodes arborescentes (exemple du voyageur de commerce)</t>
  </si>
  <si>
    <t>Programmation linéaire (résolution, dualité, post-optimisation)</t>
  </si>
  <si>
    <t>Chaines de Markov discrètes et continues</t>
  </si>
  <si>
    <t>Temps d'absorption</t>
  </si>
  <si>
    <t>Files d'attente M/M</t>
  </si>
  <si>
    <t>L'objectif de ce cours est d'apporter un point de vue général sur l'ensemble des concepts et pratiques dans</t>
  </si>
  <si>
    <t>les réseaux de communications.</t>
  </si>
  <si>
    <t>Ce cours est organisé en 3 parties</t>
  </si>
  <si>
    <t>Partie 1 : Concepts de base</t>
  </si>
  <si>
    <t>Introduction et généralités sur les réseaux</t>
  </si>
  <si>
    <t>Signaux et supports de transmission</t>
  </si>
  <si>
    <t>Modèle d'architecture OSI</t>
  </si>
  <si>
    <t>Concepts de base dans un réseau (Contrôle de flux, routage , Adressage, etc.)</t>
  </si>
  <si>
    <t>Etude de protocoles de niveau 2 : HDLC, ETHERNET</t>
  </si>
  <si>
    <t>Etude de protocoles de niveau 3 : IP</t>
  </si>
  <si>
    <t>Etude de protocoles de niveau 4 : TCP/UDP</t>
  </si>
  <si>
    <t>Partie 2 : réseaux d'entreprise</t>
  </si>
  <si>
    <t>Infrastructure passive : système de câblage</t>
  </si>
  <si>
    <t>Infrastructure active : Switch, Routeurs , Stations, Serveurs</t>
  </si>
  <si>
    <t>Offre du marché : hébergement, transport, transit Internet, cloud</t>
  </si>
  <si>
    <t>Paysage des opérateurs : des opérateurs grands publics aux opérateurs pro régionaux</t>
  </si>
  <si>
    <t>Visite d'un datacenter: ELB/Netissime</t>
  </si>
  <si>
    <t>Fonctionnalités : Trunk, Vlan , Plan adressage IP, VPN, etc.</t>
  </si>
  <si>
    <t>Gestion du projet</t>
  </si>
  <si>
    <t>Partie 3 ?</t>
  </si>
  <si>
    <t>Optoélectronique :</t>
  </si>
  <si>
    <t>VHDL :</t>
  </si>
  <si>
    <t>Cours (12h) :</t>
  </si>
  <si>
    <t>machines d'état, les bibliothèques de conception</t>
  </si>
  <si>
    <t>Applications (16h) :</t>
  </si>
  <si>
    <t>de base et de fonctions avancées</t>
  </si>
  <si>
    <t>Principes généraux et fondamentaux</t>
  </si>
  <si>
    <t>Notions d'entité, architecture, les processus, les types, les instructions (concurrentes et séquentielles), les</t>
  </si>
  <si>
    <t>Les composants FPGA</t>
  </si>
  <si>
    <t>Notions de temps (métastabilité)</t>
  </si>
  <si>
    <t>Ecriture de test-bench</t>
  </si>
  <si>
    <t>Approfondir en fonction de leur propre choix quelques notions de sciences humaines, sociales, de</t>
  </si>
  <si>
    <t>connaissance de l'entreprise ou de management</t>
  </si>
  <si>
    <t>Permettre aux élèves d'approfondir en fonction de leur propre choix quelques notions de sciences humaines,</t>
  </si>
  <si>
    <t>sociales, de connaissance de l'entreprise ou de management</t>
  </si>
  <si>
    <t>Ce module est constitué de 2 sous modules que l'élève doit choisir parmi 9 (nombre et contenu susceptibles</t>
  </si>
  <si>
    <t>d'évoluer avec le temps) permettant de découvrir ou d'approfondir les notions suivantes :</t>
  </si>
  <si>
    <t>1. M1 : la propriété intellectuelle :</t>
  </si>
  <si>
    <t>Comprendre les différentes formes de propriété, les titres de propriété industrielle</t>
  </si>
  <si>
    <t>Comprendre les brevets : brevetabilité et liberté d'exploitation</t>
  </si>
  <si>
    <t>Connaître le processus de dépôt d'un brevet et sa valorisation</t>
  </si>
  <si>
    <t>2. M2 : La veille stratégique et l'intelligence économique</t>
  </si>
  <si>
    <t>Comprendre les enjeux de la veille technologique, concurrentielle et commerciale</t>
  </si>
  <si>
    <t>Savoir mettre en oeuvre une politique de veille</t>
  </si>
  <si>
    <t>Passer de la veille à l'intelligence économique</t>
  </si>
  <si>
    <t>S'initier à l'intelligence économique offensive, benchmarking</t>
  </si>
  <si>
    <t>3. M3 : la conception de produits innovants</t>
  </si>
  <si>
    <t>Découvrir les modèles d'innovation : centré R et D ou centré conception</t>
  </si>
  <si>
    <t>Analyser le processus de conception, s'initier à la complexité et au management de la conception</t>
  </si>
  <si>
    <t>Evaluer le processus de conception : notion d'indicateurs</t>
  </si>
  <si>
    <t>4. M4 : la sociologie des organisations</t>
  </si>
  <si>
    <t>Approfondir la connaissance des entreprises et des organisations</t>
  </si>
  <si>
    <t>Découvrir les fondements du management des hommes et ses limites</t>
  </si>
  <si>
    <t>S'initier aux comportements individuels, actions collectives et travail en équipe</t>
  </si>
  <si>
    <t>C</t>
  </si>
  <si>
    <r>
      <t xml:space="preserve">Compétence ciblée </t>
    </r>
    <r>
      <rPr>
        <b/>
        <sz val="11"/>
        <color theme="1"/>
        <rFont val="Calibri"/>
        <family val="2"/>
        <scheme val="minor"/>
      </rPr>
      <t>C</t>
    </r>
    <r>
      <rPr>
        <sz val="11"/>
        <color theme="1"/>
        <rFont val="Calibri"/>
        <family val="2"/>
        <scheme val="minor"/>
      </rPr>
      <t xml:space="preserve"> ou mobilisée </t>
    </r>
    <r>
      <rPr>
        <b/>
        <sz val="11"/>
        <color theme="1"/>
        <rFont val="Calibri"/>
        <family val="2"/>
        <scheme val="minor"/>
      </rPr>
      <t>M</t>
    </r>
  </si>
  <si>
    <t>M</t>
  </si>
  <si>
    <t>Capacité</t>
  </si>
  <si>
    <t>Connaissance</t>
  </si>
  <si>
    <t>Conversion de l'Energie Electrique</t>
  </si>
  <si>
    <t>Traitement numérique des signaux et des images</t>
  </si>
  <si>
    <t>Maîtriser les principales méthodes de traitement de l'information et de l'image naturelle ou synthétique</t>
  </si>
  <si>
    <t>Maitriser les bases théoriques et la connaissance des applications typiques de la modélisation des signaux</t>
  </si>
  <si>
    <t>aléatoires, de la théorie de l'estimation et de la décision.</t>
  </si>
  <si>
    <t>Maîtriser les méthodes de base du traitement numérique du signal et leur mise en oeuvre en temps réel avec des DSP et des FPGA.</t>
  </si>
  <si>
    <t>TdSI1 : Traitement numérique des signaux</t>
  </si>
  <si>
    <t>-Analyse des signaux (cours de 6h, travaux dirigés (TD) de 12h avec Matlab)</t>
  </si>
  <si>
    <t>-Processeurs de signaux (DSP) (cours de 8h,travaux pratiques (TP)de 8h)</t>
  </si>
  <si>
    <t>-Architectures pour le traitement du signal (cours de 4h, TP de 8h : VHDL et FPGA)</t>
  </si>
  <si>
    <t>-Séminaire industriel (2h) Applications des techniques temps fréquences.</t>
  </si>
  <si>
    <t>TdSI2 : Traitement numérique des images</t>
  </si>
  <si>
    <t>-Théorie de l'information et de la communication (cours de 8h)</t>
  </si>
  <si>
    <t>-Traitement de l'image pour la vision par ordinateur (cours de 16h, TD de 5h avec Matlab)</t>
  </si>
  <si>
    <t>-Transformations orthogonales, ondelettes, applications (cours de 10h, TD de 3h avec Matlab)</t>
  </si>
  <si>
    <t>-Infographie (cours de 8h, TD de 3h).</t>
  </si>
  <si>
    <t>-Séminaires industriels (4h) Contrôle de qualité par vision, Acquisition des images en 3D.</t>
  </si>
  <si>
    <t>-Miniprojets proposés par des industriels (20h)</t>
  </si>
  <si>
    <t>TdSI3 : Modélisation, estimation, décision</t>
  </si>
  <si>
    <t>-Modélisation stochastique des signaux et applications (cours 10h, TD avec Matlab 4h)</t>
  </si>
  <si>
    <t>-Analyse et synthèse de la parole (cours de 9h avec expérimentations)</t>
  </si>
  <si>
    <t>-Théorie de l'estimation et de la décision (cours 10h, TD avec Matlab 4h))</t>
  </si>
  <si>
    <t>- Séminaire industriel (2h): Base des techniques radars</t>
  </si>
  <si>
    <t>Technologie et physique des composants à semiconducteur</t>
  </si>
  <si>
    <t>Ingénierie des Système Intégrés de Production</t>
  </si>
  <si>
    <t>Approche pyramidale de l'entreprise réactive communicante selon trois niveaux :</t>
  </si>
  <si>
    <t>° Capteurs et actionneurs électriques, pneumatiques, cellules robotisées</t>
  </si>
  <si>
    <t>° Réseaux Locaux Industriels</t>
  </si>
  <si>
    <t>° Sécurité Machines, Cyber-sécurité</t>
  </si>
  <si>
    <t>° Le MES en projet</t>
  </si>
  <si>
    <t>° Ordonnancement</t>
  </si>
  <si>
    <t>° Droits des contrats et droit du travail</t>
  </si>
  <si>
    <t>° Organisation et processus d'amélioration continue (Lean Management)</t>
  </si>
  <si>
    <t>° Ressources humaines</t>
  </si>
  <si>
    <t>° Mise en oeuvre de technologies innovantes</t>
  </si>
  <si>
    <t>° Compétences abordées : Ingénierie système, analyse fonctionnelle, API, HMI,...</t>
  </si>
  <si>
    <t>° Automates Programmables Industriels, Plates-formes de programmation associées, Interface Homme Machine (IHM)</t>
  </si>
  <si>
    <t>° MES : Manufacturing Execution System ou système d'exécution des fabrications et système d'information de l'usine</t>
  </si>
  <si>
    <t>Systèmes Embarqués Communiquants</t>
  </si>
  <si>
    <t>Option SEC</t>
  </si>
  <si>
    <t>OTC-1 : Le but premier de ce module est d'acquérir les principes de bases relatifs aux concepts</t>
  </si>
  <si>
    <t>fondamentaux et indispensables à la compréhension des systèmes dans une approche "transmission &amp;</t>
  </si>
  <si>
    <t>signaux". Il s'agit également pour les élèves ingénieurs de d'appréhender les technologies et techniques</t>
  </si>
  <si>
    <t>d'accès au médium existantes ou en développement.</t>
  </si>
  <si>
    <t>OTC-3 :Présenter d'une façon claire , pédagogique et pratique l'ensemble des concepts, des connaissances et</t>
  </si>
  <si>
    <t>des méthodes indispensables pour une introduction aux réseaux de communication.</t>
  </si>
  <si>
    <t>Les faisceaux hertziens. Les modulations numériques sur fréquence porteuse.</t>
  </si>
  <si>
    <t>Les communications avec les mobiles : norme GSM, 3G, 4G.</t>
  </si>
  <si>
    <t>Principaux aspects du concept de radiotéléphonie cellulaire. Architecture des réseaux GSM. Etablissement</t>
  </si>
  <si>
    <t>d'une communication arrivée ou départ.</t>
  </si>
  <si>
    <t>Les principaux éléments d'une chaine de transmission radio numérique (codage parole, code détecteur</t>
  </si>
  <si>
    <t>d'erreur, entrelacement, cryptage, tramage).</t>
  </si>
  <si>
    <t>Radiotéléphonie mobile d'entreprise.</t>
  </si>
  <si>
    <t>Les réseaux de données sans fil. Norme et systèmes Wifi.</t>
  </si>
  <si>
    <t>Partie 1 : Concepts de base en réseaux de communications</t>
  </si>
  <si>
    <t>Définition et objectifs des réseaux, typologie des réseaux</t>
  </si>
  <si>
    <t>Techniques de codage (parole et canal) et modulation numériques</t>
  </si>
  <si>
    <t>Théorie et Techniques utilisées dans les systèmes de communications modernes</t>
  </si>
  <si>
    <t>Réseaux GSM et UMTS &amp; Architecture</t>
  </si>
  <si>
    <t>Technologies WLAN</t>
  </si>
  <si>
    <t>Propagation et planification</t>
  </si>
  <si>
    <t>Ingénierie cellulaire</t>
  </si>
  <si>
    <t>OTC-2 : ???</t>
  </si>
  <si>
    <t>Canal radio</t>
  </si>
  <si>
    <t>Mettre en œuvre les propriétés physiques des matériaux pour le domaine du génie électrique</t>
  </si>
  <si>
    <t>Mettre en œuvre les différents éléments de production d’énergie, de transport d’énergie électrique et de conversion d'énergie</t>
  </si>
  <si>
    <t>Mettre en oeuvre les étapes permettant le contrôle du fonctionnement d’un système discret ou continu</t>
  </si>
  <si>
    <t>Mettre en œuvre des principes et stratégies d’ordonnancements des taches et de gestion</t>
  </si>
  <si>
    <t>Mettre en oeuvre des composants électroniques analogiques et/ou numériques et identifier leur fonction au sein d'un montage</t>
  </si>
  <si>
    <t>Groupe de travail :</t>
  </si>
  <si>
    <r>
      <t>Info</t>
    </r>
    <r>
      <rPr>
        <i/>
        <sz val="16"/>
        <color rgb="FF4F4D50"/>
        <rFont val="Calibri"/>
        <family val="2"/>
        <scheme val="minor"/>
      </rPr>
      <t xml:space="preserve">. </t>
    </r>
    <r>
      <rPr>
        <b/>
        <i/>
        <sz val="16"/>
        <color rgb="FF4F4D50"/>
        <rFont val="Calibri"/>
        <family val="2"/>
        <scheme val="minor"/>
      </rPr>
      <t>indus</t>
    </r>
    <r>
      <rPr>
        <i/>
        <sz val="16"/>
        <color rgb="FF4F4D50"/>
        <rFont val="Calibri"/>
        <family val="2"/>
        <scheme val="minor"/>
      </rPr>
      <t>. : T. Grenier</t>
    </r>
  </si>
  <si>
    <r>
      <t>Autom</t>
    </r>
    <r>
      <rPr>
        <i/>
        <sz val="16"/>
        <color rgb="FF4F4D50"/>
        <rFont val="Calibri"/>
        <family val="2"/>
        <scheme val="minor"/>
      </rPr>
      <t> : X. Brun</t>
    </r>
  </si>
  <si>
    <r>
      <t>Electronique</t>
    </r>
    <r>
      <rPr>
        <i/>
        <sz val="16"/>
        <color rgb="FF4F4D50"/>
        <rFont val="Calibri"/>
        <family val="2"/>
        <scheme val="minor"/>
      </rPr>
      <t> :  M. Lallart</t>
    </r>
  </si>
  <si>
    <r>
      <t>ETEP</t>
    </r>
    <r>
      <rPr>
        <i/>
        <sz val="16"/>
        <color rgb="FF4F4D50"/>
        <rFont val="Calibri"/>
        <family val="2"/>
        <scheme val="minor"/>
      </rPr>
      <t> : C. Richard</t>
    </r>
  </si>
  <si>
    <r>
      <t>TC</t>
    </r>
    <r>
      <rPr>
        <i/>
        <sz val="16"/>
        <color rgb="FF4F4D50"/>
        <rFont val="Calibri"/>
        <family val="2"/>
        <scheme val="minor"/>
      </rPr>
      <t> : J. Verdier</t>
    </r>
  </si>
  <si>
    <r>
      <t>Maths</t>
    </r>
    <r>
      <rPr>
        <i/>
        <sz val="16"/>
        <color rgb="FF4F4D50"/>
        <rFont val="Calibri"/>
        <family val="2"/>
        <scheme val="minor"/>
      </rPr>
      <t xml:space="preserve"> </t>
    </r>
    <r>
      <rPr>
        <b/>
        <i/>
        <sz val="16"/>
        <color rgb="FF4F4D50"/>
        <rFont val="Calibri"/>
        <family val="2"/>
        <scheme val="minor"/>
      </rPr>
      <t>et</t>
    </r>
    <r>
      <rPr>
        <i/>
        <sz val="16"/>
        <color rgb="FF4F4D50"/>
        <rFont val="Calibri"/>
        <family val="2"/>
        <scheme val="minor"/>
      </rPr>
      <t xml:space="preserve"> </t>
    </r>
    <r>
      <rPr>
        <b/>
        <i/>
        <sz val="16"/>
        <color rgb="FF4F4D50"/>
        <rFont val="Calibri"/>
        <family val="2"/>
        <scheme val="minor"/>
      </rPr>
      <t>Signal</t>
    </r>
    <r>
      <rPr>
        <i/>
        <sz val="16"/>
        <color rgb="FF4F4D50"/>
        <rFont val="Calibri"/>
        <family val="2"/>
        <scheme val="minor"/>
      </rPr>
      <t> : E. Bretin</t>
    </r>
  </si>
  <si>
    <t>Sous-compétence</t>
  </si>
  <si>
    <t xml:space="preserve">COMPÉTENCES EN HUMANITÉS, DOCUMENTATION ET EDUCATION PHYSIQUE ET SPORTIVE </t>
  </si>
  <si>
    <t xml:space="preserve">Se connaitre, se gérer physiquement et mentalement </t>
  </si>
  <si>
    <t xml:space="preserve">Travailler, apprendre, évoluer de manière autonome </t>
  </si>
  <si>
    <t>Interagir avec les autres, travailler en équipe</t>
  </si>
  <si>
    <t xml:space="preserve">Faire preuve de créativité, innover, entreprendre </t>
  </si>
  <si>
    <t xml:space="preserve">Agir de manière responsable dans un monde complexe </t>
  </si>
  <si>
    <t xml:space="preserve">Se situer, travailler, évoluer dans une entreprise, une organisation socio-productive </t>
  </si>
  <si>
    <t xml:space="preserve">Travailler dans un contexte international et interculturel </t>
  </si>
  <si>
    <t>Mettre en œuvre des composants électroniques analogiques et/ou numériques (et identifier leur fonction au sein d'un montage)</t>
  </si>
  <si>
    <t>Mettre en œuvre les étapes permettant le contrôle du fonctionnement d’un système discret ou continu</t>
  </si>
  <si>
    <t>COMPETENCES EN SCIENCES POUR L’INGÉNIEUR</t>
  </si>
  <si>
    <t xml:space="preserve">Résoudre les questions posées par un problème scientifique en étant conscient des limites </t>
  </si>
  <si>
    <t xml:space="preserve">Développer une démarche expérimentale </t>
  </si>
  <si>
    <t xml:space="preserve">Mettre en œuvre une démarche scientifique </t>
  </si>
  <si>
    <t>Mettre en perspective les connaissances scientifiques avec l'évolution des savoirs et des technologies</t>
  </si>
  <si>
    <t xml:space="preserve">Identifier, formuler et résoudre un problème d'ingénierie complexe </t>
  </si>
  <si>
    <t>COMPETENCES ENGLOBANTES</t>
  </si>
  <si>
    <t xml:space="preserve">Résoudre les questions posées par un problème 
scientifique en étant conscient des limites </t>
  </si>
  <si>
    <t>Mettre en perspective les connaissances scientifiques avec 
l'évolution des savoirs et des technologies</t>
  </si>
  <si>
    <r>
      <rPr>
        <b/>
        <strike/>
        <sz val="11"/>
        <color rgb="FFFF0000"/>
        <rFont val="Calibri"/>
        <family val="2"/>
        <scheme val="minor"/>
      </rPr>
      <t>1</t>
    </r>
    <r>
      <rPr>
        <b/>
        <sz val="11"/>
        <color theme="3" tint="0.39997558519241921"/>
        <rFont val="Calibri"/>
        <family val="2"/>
        <scheme val="minor"/>
      </rPr>
      <t xml:space="preserve"> </t>
    </r>
    <r>
      <rPr>
        <b/>
        <sz val="11"/>
        <color rgb="FFFF0000"/>
        <rFont val="Calibri"/>
        <family val="2"/>
        <scheme val="minor"/>
      </rPr>
      <t>2</t>
    </r>
  </si>
  <si>
    <t>Mettre en œuvre des matériaux ferromagnétiques en régime continu</t>
  </si>
  <si>
    <t>Modéliser un circuit magnétique en régime continu</t>
  </si>
  <si>
    <t>Mettre en œuvre des aimants permanents dans des circuits magnétiques</t>
  </si>
  <si>
    <t>Mettre en œuvre et dimensionner une inductance</t>
  </si>
  <si>
    <t>Relations qui couplent l'électrocinétique et le magnétisme</t>
  </si>
  <si>
    <t xml:space="preserve">Relations qui expliquent les forces d'interaction </t>
  </si>
  <si>
    <t>Circuits-couplés, Circuits magnétiques, Aimants, Bobines</t>
  </si>
  <si>
    <t>Mettre en œuvre des circuits électriques monophasés et triphasés</t>
  </si>
  <si>
    <t>Mettre en œuvre différents dipôles linéaires dans un circuit en monophasé et triphasé</t>
  </si>
  <si>
    <t>Mettre en œuvre des circuits à une ou plusieurs mailles en monophasé et triphasé</t>
  </si>
  <si>
    <t>Calculs des courants de ligne, des puissances apparentes, actives et réactives en monophasé et triphasé</t>
  </si>
  <si>
    <t>Sous compétence</t>
  </si>
  <si>
    <t>Mettre en œuvre les machines à courant continu : Machines à excitation shunt et série</t>
  </si>
  <si>
    <t>Modéliser le fonctionnement en régime permanent d'un système entrainé par une machine électrique</t>
  </si>
  <si>
    <t>Calculer les grandeurs électriques dans les  enroulements d'une machine</t>
  </si>
  <si>
    <t>Câbler, démarrer, contôler la vitesse d'une machine électrique</t>
  </si>
  <si>
    <t>Connaitre  la constitution et le principe de fonctionnement</t>
  </si>
  <si>
    <t>Comprendre les interaction entre la machine tournante et le système mécanique associé dans les quatre quadrants</t>
  </si>
  <si>
    <t>Connaitre les schémas équivalents en régime permanent</t>
  </si>
  <si>
    <t>Diagramme vectoriel, Circuit triphasé équilibré et déséquilibré, Théorème de Boucherot, Machine à courant continu a excitation séparée, shunt, série, Schéma équivalent</t>
  </si>
  <si>
    <t>OBJECTIFS:</t>
  </si>
  <si>
    <t xml:space="preserve"> Circuits électriques monophasé et triphasé en régime sinusoïdal</t>
  </si>
  <si>
    <t>Magnétisme</t>
  </si>
  <si>
    <t>Conversion électromécanique et machines DC</t>
  </si>
  <si>
    <t>Etude de pertubations harmoniques et de solutions de filtrage, étude d'un transformateur mono et triphasé, étude de convertisseurs AC/DC et DC/DC</t>
  </si>
  <si>
    <t>Machines à courant continu, synchrone et asynchrone, redresseur triphasé</t>
  </si>
  <si>
    <t>MOTS-CLES</t>
  </si>
  <si>
    <t>60 ?</t>
  </si>
  <si>
    <t>Mettre en œuvre les diodes et thyristors dans un redresseur ou onduleur non autonome monophasé ou triphasé</t>
  </si>
  <si>
    <t>Mettre en œuvre un redresseur fonctionnant en quatre quadrants</t>
  </si>
  <si>
    <t>Caractériser les séquences de fonctionnement en conduction continue ou discontinue</t>
  </si>
  <si>
    <t>Choisir les composants de puissance à mettre en œuvre dans un redresseur</t>
  </si>
  <si>
    <t>Redresseur, Pont de Graetz, Diode de Puissance, thyristor, commande par angle de phase</t>
  </si>
  <si>
    <t>Topologie des montages redresseur à diode ou thyristor</t>
  </si>
  <si>
    <t>Perturbations harmoniques induites par un redresseur</t>
  </si>
  <si>
    <t>Principales méthodes de commande d'un redresseur à thyristors.</t>
  </si>
  <si>
    <t>Mettre en œuvre les matériaux magnétiques dans les transformateurs et machines électriques tournantes</t>
  </si>
  <si>
    <t>Modéliser le circuit magnétique d’un transformateur ou d'une machine électrique</t>
  </si>
  <si>
    <t>Mettre en œuvre et modéliser le couplage magnétique entre deux circuits électriques.</t>
  </si>
  <si>
    <t>Pertes magnétiques dans un transformateur</t>
  </si>
  <si>
    <t>Relations entre grandeurs électriques et grandeurs magnétiques au sein d'un transformateur</t>
  </si>
  <si>
    <t>Circuits-couplés, Circuits magnétiques</t>
  </si>
  <si>
    <t>Mettre en œuvre les machines à courant alternatif : Machine Synchrone et  Asynchrone triphasée</t>
  </si>
  <si>
    <t>Connaitre les schémas équivalents en régime permanent et les diagrammes vectoriels associés</t>
  </si>
  <si>
    <t>Mettre en œuvre les transformateurs électriques à couplage magnétique monophasé et triphasé</t>
  </si>
  <si>
    <t>Modéliser le fonctionnement en régime permanent</t>
  </si>
  <si>
    <t>Calculer les grandeurs électriques dans les différnets enroulements</t>
  </si>
  <si>
    <t>Schématiser, Caractériser le fonctionnement en régime permanent</t>
  </si>
  <si>
    <t>Connaissance du schéma équivalent d'un transformateur</t>
  </si>
  <si>
    <t>Mettre en œuvre la méthode des composantes symétriques pour étudier le fonctionnement d'un réseau triphasé déséquilibré</t>
  </si>
  <si>
    <t>Utiliser les composantes symétriques pour modéliser un système triphasé déséquilibré</t>
  </si>
  <si>
    <t>Calculer et mesurer les impédances cycliques d'un système triphasé simple</t>
  </si>
  <si>
    <t>Calculer les courants de court-circuit aux bornes d'un système triphasé simple</t>
  </si>
  <si>
    <t>Connaissance des transformations de Fortescue</t>
  </si>
  <si>
    <t>Connaissance des impédances cycliques d'un système triphasé</t>
  </si>
  <si>
    <t>Système triphasé déséquilibrés, Méthode de Fortescue</t>
  </si>
  <si>
    <t>Machine Synchrone, Machine Asynchrone, Schéma équivalent, Transformateur monophasé et triphasé</t>
  </si>
  <si>
    <t>Comprendre les interactions entre la machine tournante et le système mécanique associé dans les quatre quadrants</t>
  </si>
  <si>
    <t xml:space="preserve">NOUVELLE FICHE ECTS </t>
  </si>
  <si>
    <r>
      <rPr>
        <b/>
        <strike/>
        <sz val="11"/>
        <color rgb="FFFF0000"/>
        <rFont val="Calibri"/>
        <family val="2"/>
        <scheme val="minor"/>
      </rPr>
      <t>3</t>
    </r>
    <r>
      <rPr>
        <b/>
        <sz val="11"/>
        <color rgb="FFFF0000"/>
        <rFont val="Calibri"/>
        <family val="2"/>
        <scheme val="minor"/>
      </rPr>
      <t xml:space="preserve"> 2</t>
    </r>
  </si>
  <si>
    <r>
      <rPr>
        <b/>
        <strike/>
        <sz val="11"/>
        <color rgb="FFFF0000"/>
        <rFont val="Calibri"/>
        <family val="2"/>
        <scheme val="minor"/>
      </rPr>
      <t>2</t>
    </r>
    <r>
      <rPr>
        <b/>
        <sz val="11"/>
        <color rgb="FFFF0000"/>
        <rFont val="Calibri"/>
        <family val="2"/>
        <scheme val="minor"/>
      </rPr>
      <t xml:space="preserve"> 3</t>
    </r>
  </si>
  <si>
    <t>Mettre en oeuvre des composants électroniques de puissance et identifier leur fonction au sein d'un montage</t>
  </si>
  <si>
    <t>Savoir calculer des caractéristiques liées à des performances sur les convertisseurs classiques et les associer à des valeurs de composants</t>
  </si>
  <si>
    <t>Etre capable d'analyser pour comprendre le fonctionnement d'un convertisseur</t>
  </si>
  <si>
    <t>Connaître les particularités de l'utilisation des composants passifs pour la conversion statique d'énergie électrique</t>
  </si>
  <si>
    <t>Connaître les notions de base sur les composants semi-conducteurs de puissance en commutation</t>
  </si>
  <si>
    <t>Connaître les règles d'association des sources</t>
  </si>
  <si>
    <t>Composants électroniques passifs et actifs, semi-conducteurs de puissance</t>
  </si>
  <si>
    <t>Mettre en oeuvre les propriétés magnétiques et semi-conductrices pour la conversion statique d'énergie</t>
  </si>
  <si>
    <t>Etre capable d'analyser le fonctionnement d'un composant magnétique dans le cas de la conversion continu/continu</t>
  </si>
  <si>
    <t>Etre capable de dimensionner des éléments composant une cellule de commutation</t>
  </si>
  <si>
    <t>Connaître les règles de dimensionnement de circuit magnétique et électronique appliquées au convertisseur de puissance</t>
  </si>
  <si>
    <t>Connaître les notions de transfert d'énergie et leur implication sur le rendement du dispositif</t>
  </si>
  <si>
    <t>Dimensionnement, Circuit magnétique, cellule de commutation</t>
  </si>
  <si>
    <t>Mettre en œuvre les architectures de conversion statique d'énergie</t>
  </si>
  <si>
    <t>Etre capable de proposer des pistes de solutions  pour les principaux problèmes rencontrés dans le domaine de la conversion statique d'énergie</t>
  </si>
  <si>
    <t>Etre capable d'identifier les paramètres d'une machine alternative expérimentalement</t>
  </si>
  <si>
    <t>Connaître les architectures des convertisseurs DC-DC classiques (Buck, Boost, Buck-Boost, Flyback, Forward, bras de pont, pont complet)</t>
  </si>
  <si>
    <t>Connaître les architectures des onduleurs classiques</t>
  </si>
  <si>
    <t>Sélection d'une architecture en fonction d'un cahier des charges défini</t>
  </si>
  <si>
    <t>hacheurs, onduleurs, conversion statique d'énergie, architecture de convertisseur, analyse système</t>
  </si>
  <si>
    <t>Mettre en oeuvre les étapes permettant le contrôle d'un convertisseur de puissance</t>
  </si>
  <si>
    <t>Analyser des systèmes de variation de vitesse</t>
  </si>
  <si>
    <t>Sélection de bloc fonctionnel pour la commande d'actionneur</t>
  </si>
  <si>
    <t>Connaître certaines modulations pour la commande des onduleurs monophasés et triphasés</t>
  </si>
  <si>
    <t>modulations, commande vectorielle, commande scalaire</t>
  </si>
  <si>
    <t>OBJECTIFS</t>
  </si>
  <si>
    <t xml:space="preserve">La conversion DC/DC (hacheurs directs et indirects, connexion entre les sources, </t>
  </si>
  <si>
    <t xml:space="preserve">               alimentations à découpage, structures avec interrupteurs commandés)</t>
  </si>
  <si>
    <t>Les composants semi-conducteurs et passifs</t>
  </si>
  <si>
    <t>La conversion DC/AC (onduleurs monophasé et triphasé) et les conversions AC/DC et AC/AC</t>
  </si>
  <si>
    <t>Pertes dans un convertisseur, commande rapprochée</t>
  </si>
  <si>
    <t xml:space="preserve">Cellule de commutation, alimentations à découpage, hacheur à commutation douce, </t>
  </si>
  <si>
    <t>moteur synchrone auto-piloté, onduleur push-pull, modélisation d'un moteur asynchrone,</t>
  </si>
  <si>
    <t xml:space="preserve"> alternateur en régime déséquilibré</t>
  </si>
  <si>
    <t>Mettre en œuvre des matériaux couplés pour la conversion d'énergie</t>
  </si>
  <si>
    <t>Mettre en place une loi de comportement</t>
  </si>
  <si>
    <t>Choisir une batterie ou un matériau électro-actif pour une application donnée</t>
  </si>
  <si>
    <t>Caractéristiques importantes d’un matériau électroactif</t>
  </si>
  <si>
    <t>Procédés et méthodes de caractérisation de matériaux et systèmes électro-actifs</t>
  </si>
  <si>
    <t>Modéliser un élément et un système électroactifs</t>
  </si>
  <si>
    <t>Différents types de couplages et de conversion et leurs mécanismes</t>
  </si>
  <si>
    <t>conversion électroactive (éolien, photovoltaïque, piézoélectrique, thermoélectrique, pyroélectrique, magnétisme, électrochimie), modélisation, caractérisation</t>
  </si>
  <si>
    <t>Mettre en œuvre des solutions de production, distribution et stockage de l'énergie</t>
  </si>
  <si>
    <t>Donner et expliquer le schéma de principe d’une centrale thermique</t>
  </si>
  <si>
    <t>Dimensionner une installation éolienne ou photovoltaïque</t>
  </si>
  <si>
    <t>Identifier les problèmes sur un réseau de distribution électrique et les corriger</t>
  </si>
  <si>
    <t>Principes de fonctionnement de différents types d'installation de production d'énergie</t>
  </si>
  <si>
    <t>Principes de fonctionnement et réglage d’une turbine à vapeur et de la chaudière</t>
  </si>
  <si>
    <t>centrales, turbine à vapeur, réseaux électriques, cycles thermiques, bureau d'étude</t>
  </si>
  <si>
    <t>Mettre en œuvre et dimensionner un circuit de charge de batterie</t>
  </si>
  <si>
    <t xml:space="preserve">Principe d’une régulation au maximum de puissance </t>
  </si>
  <si>
    <t>Structure de charge de batteries</t>
  </si>
  <si>
    <t>charge de batteries, conception d'une installation de production (bureau d'étude), conception et analyse d'un système intelligent (projets), capteurs et actionneurs électroactifs</t>
  </si>
  <si>
    <t>Simplifier un système multiphysique et le modéliser</t>
  </si>
  <si>
    <t>Choix d’une technique d’analyse adapté</t>
  </si>
  <si>
    <t>Interpréter les résultats d’une simulation</t>
  </si>
  <si>
    <t>Applications typiques des matériaux électroactifs et architectures typiques de ces systèmes</t>
  </si>
  <si>
    <t>Méthodes de représentation d’un système</t>
  </si>
  <si>
    <t>bureau d'étude, projet de modélisation</t>
  </si>
  <si>
    <t>Travailler, apprendre, évoluer de manière autonome</t>
  </si>
  <si>
    <t>Mettre en adéquation sensibilités personnelles et opportunités professionnelles</t>
  </si>
  <si>
    <t>Contexte industriel et académique en termes de production d'énergie et d'applications des systèmes électroactifs</t>
  </si>
  <si>
    <t>Interventions extérieures, séminaires d'ouverture thématiques</t>
  </si>
  <si>
    <t>Répartition des tâches et coordination</t>
  </si>
  <si>
    <t>Réaliser et présenter un travail bibliographique sur le thème des énergies et de la production d’électricité</t>
  </si>
  <si>
    <t>Exposer efficacement un travail à l'écrit et à l'oral ; s'adapter à l'auditoire</t>
  </si>
  <si>
    <t>Structure et démarche classiques de rendu de projet</t>
  </si>
  <si>
    <t>Faire preuve de créativité, innover, entreprendre</t>
  </si>
  <si>
    <t>Identifier des concepts innovants pour des applications futures</t>
  </si>
  <si>
    <t>Etat de l'art industriel et de la recherche</t>
  </si>
  <si>
    <t>Prospectives de recherche et attentes industrielles</t>
  </si>
  <si>
    <t>contexte économique, potentiels de développement</t>
  </si>
  <si>
    <t>Se situer, travailler, évoluer dans une entreprise, une organisation socio-productive</t>
  </si>
  <si>
    <t>Prendre en compte les enjeux industriels et économiques dans les domaines de la conversion et production d'énergie, y compris renouvelable</t>
  </si>
  <si>
    <t>Utiliser les énergies renouvelables</t>
  </si>
  <si>
    <t>Analyser le potentiel d’un site</t>
  </si>
  <si>
    <t>Cycles de vie de l’énergie</t>
  </si>
  <si>
    <t>Contexte énergétique mondial</t>
  </si>
  <si>
    <t>Marché français de l'électricité</t>
  </si>
  <si>
    <t>photovoltaïque, éolien, contexte énergétique</t>
  </si>
  <si>
    <t>CEE1 : Production de l’Energie Electrique (PEE – resp. S. Sellin – 74 h dont 12 h de bureau d'étude)</t>
  </si>
  <si>
    <t>1 Sources d'Energie Electrique et Conversion (CEE1-PEE1 – 26  h)</t>
  </si>
  <si>
    <t>2 Energies Renouvelables (CEE1-PEE2 – 48  h dont 12 h de bureau d'étude)</t>
  </si>
  <si>
    <t>CEE2 : Stockage et Transport de l’Electricité (STE – resp. L. Lebrun – 27 h)</t>
  </si>
  <si>
    <t>1 Réseau électriques - Qualité de l'électricité (CEE2-STE1 – 7  h)</t>
  </si>
  <si>
    <t>2 Stockage (CEE2-STE2 – 20 h)</t>
  </si>
  <si>
    <t>CEE3 : Matériaux et Systèmes Electro-Actifs (MSEA – resp. M. Lallart – 79 h dont 12h de projets et 12 h de TP)</t>
  </si>
  <si>
    <t>1 Couplages Electro-actifs (21 h)</t>
  </si>
  <si>
    <t>2 Modélisation et Applications des Systèmes Electro-Actifs (36 h dont 12h de projets et 12 h de TP)</t>
  </si>
  <si>
    <t>3 Séminaires d’Ouverture Thématique (21 h)</t>
  </si>
  <si>
    <t xml:space="preserve"> Sous compétence</t>
  </si>
  <si>
    <t>Mettre en oeuvre des amplificateurs opérationnels et identifier leur fonction au sein d'un montage</t>
  </si>
  <si>
    <t>Sélectionner, dimensionner et interfacer des montages à amplificateurs différentiels pour répondre à un cahier des charges</t>
  </si>
  <si>
    <t xml:space="preserve">Identifier les blocs constitutifs dans un circuit complexe à amplificateurs différentiels et quantifier leurs performances </t>
  </si>
  <si>
    <t>Analyser et appliquer une documentation technique</t>
  </si>
  <si>
    <t>Architecture et principe de fonctionnement d’amplificateurs opérationnels</t>
  </si>
  <si>
    <t>Approximations courantes du fonctionnement d'un amplificateur opérationnel</t>
  </si>
  <si>
    <t>Circuits fondamentaux à base d'AOPs</t>
  </si>
  <si>
    <t>Limites et défauts de l'amplificateur opérationnel réel</t>
  </si>
  <si>
    <t>Approche système, amplificateurs différentiels idéaux et réels, comparateurs, astables et monostables, oscillateurs, amplifications, filtres actifs, amplificateurs différentiels, analyse de datasheet</t>
  </si>
  <si>
    <t>Sélectionner, concevoir et réaliser des capteurs et leur interfaçage</t>
  </si>
  <si>
    <t>Choisir un capteur adapté à une application</t>
  </si>
  <si>
    <t>Dimensionner un capteur et/ou son interface pour une application</t>
  </si>
  <si>
    <t>Evaluer les incertitudes de mesure et le bruit dans une chaîne électronique</t>
  </si>
  <si>
    <t xml:space="preserve">Types de capteurs, leurs principes physiques et leurs caractéristiques statiques et dynamiques </t>
  </si>
  <si>
    <t>Topologie élémentaire d'une interface d'acquisition et les éléments la constituant</t>
  </si>
  <si>
    <t>Paramètres de base de l’acquisition d’un signal</t>
  </si>
  <si>
    <t>Chaîne électronique, capteurs, interfaçage de capteurs, mesure et incertitudes, conversion analogique-numérique, capteurs de température, bruit</t>
  </si>
  <si>
    <t>Mettre en oeuvre l'amplificateur opérationnel en fonctionnement linéaire</t>
  </si>
  <si>
    <t>Définir le type de contre-réaction</t>
  </si>
  <si>
    <t>Quantifier l'impact d'un type de contre-réaction sur les caractéristiques d'un bloc électronique</t>
  </si>
  <si>
    <t xml:space="preserve">Types de contre-réaction et leurs conséquences </t>
  </si>
  <si>
    <t>Application des principes de contre-réaction aux amplificateurs opérationnels</t>
  </si>
  <si>
    <t>Contre-réaction, amplificateurs opérationnels en fonctionnement linéaires</t>
  </si>
  <si>
    <t>Amplificateurs opérationnels</t>
  </si>
  <si>
    <t>Principes de l'AOP</t>
  </si>
  <si>
    <t>Approximations de l'AOP idéal</t>
  </si>
  <si>
    <t xml:space="preserve">Montages non-linéaires (comparateurs, oscillateurs...) </t>
  </si>
  <si>
    <t>Principes de la contre-réaction</t>
  </si>
  <si>
    <t>Montages linéaires (amplificateurs, filtres...)</t>
  </si>
  <si>
    <t>Amplificateurs différentiels à AOP</t>
  </si>
  <si>
    <t>AOP réel (défauts statiques et dynamiques)</t>
  </si>
  <si>
    <t>Interfaçage des capteurs</t>
  </si>
  <si>
    <t>Topologie élémentaire d'une interface d'acquisition</t>
  </si>
  <si>
    <t>Les éléments constitutifs de l'interface et leurs modèles électriques</t>
  </si>
  <si>
    <t>Les différents types de capteurs (actifs, passifs) et leurs principes physiques</t>
  </si>
  <si>
    <t>Caractéristiques statiques et dynamiques des capteurs</t>
  </si>
  <si>
    <t>Notions sur les Convertisseurs Analogiques-Numériques (CAN)</t>
  </si>
  <si>
    <t>Mesure des grandeurs électriques</t>
  </si>
  <si>
    <t>Topologies-type des circuits d'interface des capteurs passifs et actifs</t>
  </si>
  <si>
    <t>Les bruits intrinsèques (thermique, grenaille, Fliker..) dans les éléments constitutifs de l'interface</t>
  </si>
  <si>
    <t>Mesure de température (thermocouples, jonctions SC, thermistances)</t>
  </si>
  <si>
    <t>Etude et Applications du NE555, L’Ampliﬁcateur Opérationnel, Ampliﬁcateur à entrées diﬀérentielles (à base d’AOP), Application des AOPs</t>
  </si>
  <si>
    <t>Mini-projet d'électronique</t>
  </si>
  <si>
    <t>Principes généraux et fondamentaux du langage VHDL</t>
  </si>
  <si>
    <t>Conception de systèmes numériques à l'aide du langage VHDL</t>
  </si>
  <si>
    <t>Ecrire la description correspondant au fonctionnement d'un circuit avec les instructions VHDL appropriées</t>
  </si>
  <si>
    <t>Mettre en œuvre les propriétés physiques des matériaux pour l'optoélectronique</t>
  </si>
  <si>
    <t>Dimensionner une fibre optique pour les applications en télécommunication</t>
  </si>
  <si>
    <t xml:space="preserve">Dimensionner une diode laser </t>
  </si>
  <si>
    <t>Capteurs couleurs CCD, CMOS</t>
  </si>
  <si>
    <t>Physique du semiconducteur pour l'optoélectronique</t>
  </si>
  <si>
    <t>Propagation de la lumière dans un milieu transparent</t>
  </si>
  <si>
    <t>Conception de systèmes d'interfaçage optoélectroniques</t>
  </si>
  <si>
    <t>Dimensionner un système électronique basé sur des optocoupleurs</t>
  </si>
  <si>
    <t>Fonctions de base de l'électronique analogique</t>
  </si>
  <si>
    <t>Composants optoélectroniques</t>
  </si>
  <si>
    <t>AOP, optocoupleurs, LED, capteur optique</t>
  </si>
  <si>
    <t>Laser, semi-conducteurs, fibre optique, CMOS, CCD</t>
  </si>
  <si>
    <t>Configurer le FPGA pour qu'il communique avec des périphériques (CAN, CNA, etc)</t>
  </si>
  <si>
    <t>Conception et mise en œuvre de circuits numériques à l'aide du langage VHDL</t>
  </si>
  <si>
    <t>Tester et valider un circuit numérique à l'aide d'un analyseur logique</t>
  </si>
  <si>
    <t>Tester et valider un système numérique à l'aide d'un analyseur logique</t>
  </si>
  <si>
    <t xml:space="preserve">Mettre en oeuvre les différentes étapes du flot de conception avec les outils appropriés pour implémenter des fonctions logiques simples </t>
  </si>
  <si>
    <t xml:space="preserve">Ecrire les bancs de test pour la réalisation de simulations fonctionnelles </t>
  </si>
  <si>
    <t>Electronique numérique (systèmes logiques)</t>
  </si>
  <si>
    <t>VHDL, FPGA, simulation fonctionnelle, implémentation de circuits numériques</t>
  </si>
  <si>
    <t>Concevoir des systèmes numériques répondant aux besoins d'un cahier des charges</t>
  </si>
  <si>
    <t>Electronique analogique et numériques, capteurs</t>
  </si>
  <si>
    <t>VHDL, FPGA, simulation fonctionnelle, implémentation de circuits numériques, interfaçage</t>
  </si>
  <si>
    <t>Présentation des bases du langage VHDL (avec les outils Xilinx).  Implémentation de circuits numériques</t>
  </si>
  <si>
    <r>
      <t xml:space="preserve">3 </t>
    </r>
    <r>
      <rPr>
        <b/>
        <sz val="11"/>
        <color rgb="FFFF0000"/>
        <rFont val="Calibri"/>
        <family val="2"/>
        <scheme val="minor"/>
      </rPr>
      <t>2</t>
    </r>
  </si>
  <si>
    <t>Partie VHDL :</t>
  </si>
  <si>
    <t>Partie Optoélectronique :</t>
  </si>
  <si>
    <t>Physique et technologie des composants</t>
  </si>
  <si>
    <t>Physique des semi-conducteurs</t>
  </si>
  <si>
    <t>Absorption, recombinaison et amplification optique</t>
  </si>
  <si>
    <t>Laser</t>
  </si>
  <si>
    <t>Applications optoélectroniques</t>
  </si>
  <si>
    <t>Grandeurs physiques</t>
  </si>
  <si>
    <t>Photorésistance</t>
  </si>
  <si>
    <t>Photodiode</t>
  </si>
  <si>
    <t>Optocoupleur</t>
  </si>
  <si>
    <t>Capteurs couleur</t>
  </si>
  <si>
    <t>Tube cathodique</t>
  </si>
  <si>
    <t>Microscope électronique à balayage</t>
  </si>
  <si>
    <t>Microscope électronique en emission</t>
  </si>
  <si>
    <t>Optoélectronique pour les télécomunications</t>
  </si>
  <si>
    <t>Guidage de la lumière dans une fibre</t>
  </si>
  <si>
    <t>Fibre optique</t>
  </si>
  <si>
    <t>Application de l'optoélectronique aux télécommunications</t>
  </si>
  <si>
    <t>MATRICE PRESENTEE A LA CTI</t>
  </si>
  <si>
    <t xml:space="preserve">NOUVELLE MATRICE </t>
  </si>
  <si>
    <t>Mettre en œuvre des circuit électroniques</t>
  </si>
  <si>
    <t>Appliquer les lois fondamentales de l'électricité</t>
  </si>
  <si>
    <t>Représenter sous la forme de quadripôle</t>
  </si>
  <si>
    <t>Simuler des circuits électroniques</t>
  </si>
  <si>
    <t>Mesurer des quantités électriques au sein des circuits électroniques</t>
  </si>
  <si>
    <t>Identifier la structure fonctionnelle d'une chaîne électronique</t>
  </si>
  <si>
    <t>Mettre en œuvre des filtres passifs</t>
  </si>
  <si>
    <t>Analyser des filtres</t>
  </si>
  <si>
    <t>Représenter sous la forme d'un diagramme de Bode</t>
  </si>
  <si>
    <t>Types de filtre</t>
  </si>
  <si>
    <t>Mettre en œuvre les transistors bipolaires</t>
  </si>
  <si>
    <t>Sélectionner, dimensionner et interfacer des montages à transistors pour répondre à un cahier des charges</t>
  </si>
  <si>
    <t xml:space="preserve">Identifier les blocs constitutifs dans un circuit complexe à transistors et quantifier leurs performances </t>
  </si>
  <si>
    <t>Circuits fondamentaux à base de transistors</t>
  </si>
  <si>
    <t>Lois fondamentales de l'électricité, chaîne électronique, filtre passifs, transistor bipolaires</t>
  </si>
  <si>
    <t>Mettre en œuvre le transistor bipolaire</t>
  </si>
  <si>
    <t>Etablir la loi de comportement d'un composant</t>
  </si>
  <si>
    <t>Etablir le point de fonctionnemenbt d'un composant</t>
  </si>
  <si>
    <t>Etablir un modèle linéarisé d'un composant</t>
  </si>
  <si>
    <t>Fonctionnement d'une diode et du transitor bipolaire</t>
  </si>
  <si>
    <t>Polarisation et régimes dynamique et petits signaux</t>
  </si>
  <si>
    <t>Jonction PN, transistor, diode, régime dynamique, polarisation</t>
  </si>
  <si>
    <t>Généralités</t>
  </si>
  <si>
    <t>Rappel de notions d'électricité</t>
  </si>
  <si>
    <t>Concepts de base de l'électronique - représentation, lois fondamentales</t>
  </si>
  <si>
    <t>Analyse spectrale</t>
  </si>
  <si>
    <t>Intérêt du filtrage / Types de filtre</t>
  </si>
  <si>
    <t>Analyse et représentation des filtres passifs</t>
  </si>
  <si>
    <t>La diode et le transistor bipolaire</t>
  </si>
  <si>
    <t>Introduction à la simulation, Sources de tension et de courant, Comportement en Fréquence / Superposition / Caractéristique statique et Droite de charge</t>
  </si>
  <si>
    <t>Ampliﬁcateur de type Emetteur Commun, Réalisation d’un ampliﬁcateur à transistors, L’ampliﬁcateur diﬀérentiel à transistors</t>
  </si>
  <si>
    <t>COMPETENCES</t>
  </si>
  <si>
    <t>Mettre en œuvre des composants électroniques semiconducteurs au sein d'un système électronique</t>
  </si>
  <si>
    <t xml:space="preserve">Mesurer l'impact d'une technologie de semiconducteur sur les performances électriques d'un système électronique  </t>
  </si>
  <si>
    <t>Dimensionner un système électronique en fonction des contraintes d'une technologie de semiconducteur</t>
  </si>
  <si>
    <t>Électronique analogique et numérique</t>
  </si>
  <si>
    <t>Structures des composants semiconducteurs</t>
  </si>
  <si>
    <t>Langage de description matérielle VHDL</t>
  </si>
  <si>
    <t>Électronique analogique et numérique, circuit intégré, langage de description matérielle, composant semiconducteur</t>
  </si>
  <si>
    <t>Mettre en œuvre les propriétés physiques d'un matériau semiconducteur dans la conception et la fabrication d'un composant électronique ou d'un circuit intégré</t>
  </si>
  <si>
    <t>Comprendre la physique du semiconducteur et des composants semiconducteurs pour concevoir des composants et des circuits intégrés qui répondent à des besoins identifiés</t>
  </si>
  <si>
    <t>Identifier les différents procédés technologiques de salle blanche et savoir les intégrer dans la conception d'un composant semiconducteur</t>
  </si>
  <si>
    <t>Concevoir et modéliser un composant semiconducteur par éléments finis en s'appuyant sur des modèles physiques ou empiriques existants</t>
  </si>
  <si>
    <t>Caractériser électriquement un composant semiconducteur, en faire le lien avec la physique du composant et en mesurer l'impact au sein d'un système électronique</t>
  </si>
  <si>
    <t>Physique du semiconducteur et des composants semiconducteurs</t>
  </si>
  <si>
    <t>Procédés technologiques de salle blanche</t>
  </si>
  <si>
    <t>Modélisation par éléments finis</t>
  </si>
  <si>
    <t>Caractérisations électriques sous pointes et en boîtier</t>
  </si>
  <si>
    <t>Physique du semiconducteur et des composants semiconducteurs, procédés technologiques de salle blanche, TCAD, caractérisations physiques et électriques</t>
  </si>
  <si>
    <t>S'approprier des conférences industrielles pour se sensibiliser aux besoins du monde socio-économiques actuelle et établir son projet professionnel</t>
  </si>
  <si>
    <t>Conférences industrielles sur les systèmes électroniques embarqués</t>
  </si>
  <si>
    <t>Conférences industrielles, systèmes électroniques embarqués</t>
  </si>
  <si>
    <t>S'approprier des connaissances en électronique intégré et savoir les mettre en œuvre dans le cas de projets</t>
  </si>
  <si>
    <t>Restitution écrite et orale en fonction du public ciblé</t>
  </si>
  <si>
    <t>Projets en équipe</t>
  </si>
  <si>
    <t>SEI1 : Technologie de fabrication des circuits intégrés et physique du semiconducteur</t>
  </si>
  <si>
    <t>A. Principales étapes technologiques de la fabrication d'un circuit intégré</t>
  </si>
  <si>
    <t>B. Physique des composants semiconducteurs. Structures et propriétés de la diode et des transistors bipolaires. 
Structures et propriétés des transistors de type FET.</t>
  </si>
  <si>
    <t>SEI2 : Circuits et systèmes</t>
  </si>
  <si>
    <t>A. Conception des circuits intégrés  CMOS.</t>
  </si>
  <si>
    <t>B. Alimentation à découpage intégrée (SMPS)</t>
  </si>
  <si>
    <t>SEI3 : Microsystèmes et systèmes sur puces</t>
  </si>
  <si>
    <t>A. Théorie et synthèse des circuits numériques</t>
  </si>
  <si>
    <t>B. Introduction aux circuits de PLL (Boucles à verrouillage de phase) : Application à la synthèse/reconstitution d'horloge rapide</t>
  </si>
  <si>
    <t>C. Conception et technologie des MEMS et NEMS</t>
  </si>
  <si>
    <t>D. Introduction aux capteurs intégrés pour la santé ou l'imagerie numérique</t>
  </si>
  <si>
    <r>
      <t>Maths</t>
    </r>
    <r>
      <rPr>
        <i/>
        <sz val="16"/>
        <color rgb="FF4F4D50"/>
        <rFont val="Calibri"/>
        <family val="2"/>
        <scheme val="minor"/>
      </rPr>
      <t xml:space="preserve"> </t>
    </r>
    <r>
      <rPr>
        <b/>
        <i/>
        <sz val="16"/>
        <color rgb="FF4F4D50"/>
        <rFont val="Calibri"/>
        <family val="2"/>
        <scheme val="minor"/>
      </rPr>
      <t>et</t>
    </r>
    <r>
      <rPr>
        <i/>
        <sz val="16"/>
        <color rgb="FF4F4D50"/>
        <rFont val="Calibri"/>
        <family val="2"/>
        <scheme val="minor"/>
      </rPr>
      <t xml:space="preserve"> </t>
    </r>
    <r>
      <rPr>
        <b/>
        <i/>
        <sz val="16"/>
        <color rgb="FF4F4D50"/>
        <rFont val="Calibri"/>
        <family val="2"/>
        <scheme val="minor"/>
      </rPr>
      <t>Signal</t>
    </r>
    <r>
      <rPr>
        <i/>
        <sz val="16"/>
        <color rgb="FF4F4D50"/>
        <rFont val="Calibri"/>
        <family val="2"/>
        <scheme val="minor"/>
      </rPr>
      <t> : B. Roux</t>
    </r>
  </si>
  <si>
    <r>
      <t xml:space="preserve">Humanités : </t>
    </r>
    <r>
      <rPr>
        <i/>
        <sz val="16"/>
        <color rgb="FF4F4D50"/>
        <rFont val="Calibri"/>
        <family val="2"/>
        <scheme val="minor"/>
      </rPr>
      <t>C. Richard</t>
    </r>
  </si>
  <si>
    <r>
      <t xml:space="preserve">Ens. Transversaux : </t>
    </r>
    <r>
      <rPr>
        <i/>
        <sz val="16"/>
        <color rgb="FF4F4D50"/>
        <rFont val="Calibri"/>
        <family val="2"/>
        <scheme val="minor"/>
      </rPr>
      <t>P. DELACHARTRE</t>
    </r>
  </si>
  <si>
    <t>Etre capable de mettre en place un régulateur PI ou PID à partir d'un système électronique analogique ou numérique</t>
  </si>
  <si>
    <t>Connaître le comportement d'éléments de base utilisés pour la commande (mécanique, électrique et pneumatique)</t>
  </si>
  <si>
    <t>Appréhender le principe de la causalité dans l'étude des systèmes avec une approche énergétique (Bond-Graph)</t>
  </si>
  <si>
    <t>Modélisation, Actionneurs, Pré-actionneurs, Bond-Graph, Régulateurs, PI, PID</t>
  </si>
  <si>
    <t>Etre capable de rédiger un GRAFCET et un cahier des charges sous forme d'analyse fonctionnelle (GEMMA)</t>
  </si>
  <si>
    <t>Etre capable de modéliser des systèmes physiques par Bond-Graph, équations différentielles, fonctions de transfert et représentations d'état</t>
  </si>
  <si>
    <t>Etre capable d'analyser des systèmes linéaires, schémas blocs, en boucle ouverte / boucle fermée</t>
  </si>
  <si>
    <t>Etre capable d'analyser la stabilité : carte des pôles et zéros, Critère algébrique (Routh), Lieu d'Evans</t>
  </si>
  <si>
    <t>Etre capable de régler les paramètres d'un correcteur par calcul ou éxpérimentalement</t>
  </si>
  <si>
    <t>Connaître des généralités sur l'Automatique et les technologies mécatroniques</t>
  </si>
  <si>
    <t>Connaître les modes de représentations et d'analyses temporelle et fréquentielle de systèmes du premier et du second ordres</t>
  </si>
  <si>
    <t>Connaître les critères de stabilité des systèmes bouclés : Critère de Nyquist, Critère du revers</t>
  </si>
  <si>
    <t>Connaître les structures élémentaires des correcteurs : P, PI, PD, avance de phase, retard de phase, PID, PID filtré</t>
  </si>
  <si>
    <t>GRAFCET, GEMMA, Automate Programmable Industriel, Boucle ouverte/Boucle fermée, Asservissement, Régulation, Stabilité, Correcteur PID</t>
  </si>
  <si>
    <t>Concevoir et  développer des logiciels haut et bas niveau pour des systèmes  (traitement et gestion de l’information)</t>
  </si>
  <si>
    <t>Etre capable d'utiliser les fonctions de base du logiciel Unity pour mettre en place une commande dans un automate programmable industriel</t>
  </si>
  <si>
    <t>Etre capable d'utiliser Matlab et Simulink pour faire des simulations temporelles simples et des analyses fréquentielles</t>
  </si>
  <si>
    <t>Connaître les bases de certains outils logiciels industriels d'Automatique : Matlab-Simulink, Unity Pro</t>
  </si>
  <si>
    <t>Connaître les notions de base de la norme IEC 61131-3</t>
  </si>
  <si>
    <t>Programmation d'automates, Simulations temporelles et fréquentielles, Matlab, Simulink</t>
  </si>
  <si>
    <t>Connaître le comportement d'élements de base utilisés pour la commande (mécanique, électrique et pneumatique)</t>
  </si>
  <si>
    <t>Introduction à l'Automatique (2h Cours)</t>
  </si>
  <si>
    <t>Analyse fonctionnelle et programmation d'automates ( Systèmes à évenements discrets : 6h Cours + 12h TD)</t>
  </si>
  <si>
    <t>Technologie électropneumatique  (FluidSim)</t>
  </si>
  <si>
    <t>Inititation à la Modélisation, l'Analyse et la Commande d'un système (Systèmes Continus : 12h Cours + 24h TD)</t>
  </si>
  <si>
    <t xml:space="preserve">Modélisation des systèmes physiques par Bond-Graph et Equations différentielles </t>
  </si>
  <si>
    <t xml:space="preserve">Eléments de systèmes Mécaniques : M, J, f, ressort </t>
  </si>
  <si>
    <t>Fonction de transfert, Schéma bloc, Bond Graph</t>
  </si>
  <si>
    <t xml:space="preserve">Analyse fréquentielle : Bode, Nyquist, Black </t>
  </si>
  <si>
    <t>Analyse de stabilité : critères algébriques et graphiques</t>
  </si>
  <si>
    <t xml:space="preserve">Structure élémentaire des correcteurs </t>
  </si>
  <si>
    <t>Projet Simulation systèmes avec Matlab-Simulink</t>
  </si>
  <si>
    <t>Travaux pratiques (18h TP)</t>
  </si>
  <si>
    <t>Mise en oeuvre d’un servo-moteur</t>
  </si>
  <si>
    <t>Régulation de niveau avec PID industriel</t>
  </si>
  <si>
    <t>Asservissement de vitesse d’un moteur à courant continu</t>
  </si>
  <si>
    <t>Traitement de surface</t>
  </si>
  <si>
    <t>Chaine pneumatique de manipulation ou Transstockeur</t>
  </si>
  <si>
    <t>Modélisation, Actionneurs, Pré-actionneurs, Bond-Graph, Stabilité, Asservissement, Régulation, Correcteur PID</t>
  </si>
  <si>
    <t>Simulations temporelles et fréquentielles, Matlab, Simulink</t>
  </si>
  <si>
    <t>Analyse Fonctionnelle, GEMMA, GRAFCET, Automate Programmable Industriel</t>
  </si>
  <si>
    <t>Mettre en oeuvre les étapes permettant le contrôle du fonctionnement d’un système échantillonné ou continu</t>
  </si>
  <si>
    <t xml:space="preserve">Connaître les différentes notions de robustesse d’un système linéaire </t>
  </si>
  <si>
    <t>Savoir calculer les différentes marges de stabilité d'un correcteur</t>
  </si>
  <si>
    <t>Etre capable d'analyser la robustesse d'un correcteur</t>
  </si>
  <si>
    <t>Connaître la définition des différentes fonctions de sensibilité</t>
  </si>
  <si>
    <t>Savoir interpréter ces fonctions de sensibilité</t>
  </si>
  <si>
    <t>Robustesse, marge de module, marge de retard, fonctions de sensibilité</t>
  </si>
  <si>
    <t>Connaitre les éléments de base pour la synthèse échantillonnée de correcteurs numériques</t>
  </si>
  <si>
    <t>Savoir la différence entre synthèse continue et synthèse échantillonnée d'un correcteur</t>
  </si>
  <si>
    <t>Savoir discrétiser un processus continu de base</t>
  </si>
  <si>
    <t>Savoir analyser la stabilté d'un système échantillonné</t>
  </si>
  <si>
    <t>Savoir traduire un cahier des charges en asservissement et en régulation</t>
  </si>
  <si>
    <t>Fonction de transfert échantillonnée, stabilité, Schéma échantillonné</t>
  </si>
  <si>
    <t>Savoir effectuer la synthèse et le réglage de correcteurs numériques</t>
  </si>
  <si>
    <t>Savoir effectuer la synthèse par placement de pôles et de zéros : PI, PID filtré numérique, Dead-Beat</t>
  </si>
  <si>
    <t xml:space="preserve">Savoir  effectuer la synthèse d'un correcteur pour des processus avec des zéros instables, des retards, des saturations… </t>
  </si>
  <si>
    <t>Comprendre le fonctionnement d'une commande prédictive fonctionnelle</t>
  </si>
  <si>
    <t xml:space="preserve">Savoir synthétiser une commande par modèle interne </t>
  </si>
  <si>
    <t xml:space="preserve">Savoir synthétiser une commande RST </t>
  </si>
  <si>
    <t xml:space="preserve">PID numérique, Dead-Beat, PFC, Modèle interne, RST </t>
  </si>
  <si>
    <t>Connaître les fonctions de base de Matlab/Simulik en continu et en discret</t>
  </si>
  <si>
    <t xml:space="preserve">Savoir simuler un système asservi échantillonné avec Matlab/Simulink </t>
  </si>
  <si>
    <t xml:space="preserve">Savoir traduire un correcteur numérique par des équations de récurrence </t>
  </si>
  <si>
    <t xml:space="preserve">Savoir donner un algorithme d'une commande numérique </t>
  </si>
  <si>
    <t>Matlab/Simulink, Equation de récurrence, Algorithme de commande</t>
  </si>
  <si>
    <t>Compétence2</t>
  </si>
  <si>
    <t>Rappels sur la synthèse des correcteurs en continu (2h Cours)</t>
  </si>
  <si>
    <t xml:space="preserve">Synthèse par placement de pôles : PI, PID filtré </t>
  </si>
  <si>
    <t xml:space="preserve">Analyse de robustesse des systèmes linéaires (3h Cours + 3h TD) </t>
  </si>
  <si>
    <t>Réalisation des correcteurs  (2h Cours + 3h TD)</t>
  </si>
  <si>
    <t>Solutions analogique, numérique</t>
  </si>
  <si>
    <t>Application à la régulation de niveau</t>
  </si>
  <si>
    <t xml:space="preserve">Synthèse de correcteurs en échantillonné (13h Cours + 12h TD) </t>
  </si>
  <si>
    <t>Stabilité des systèmes échantillonnés</t>
  </si>
  <si>
    <t>Synthèse par placement de pôles : PI, PID filtré numérique</t>
  </si>
  <si>
    <t xml:space="preserve">Synthèse pour des processus avec des zéros instables, des retards, des saturations… </t>
  </si>
  <si>
    <t>Commande prédictive fonctionnelle</t>
  </si>
  <si>
    <t>Applications : Trémie, plateforme circulaire, convertisseur buck</t>
  </si>
  <si>
    <t>Travaux pratiques (12h TP)</t>
  </si>
  <si>
    <t>Commande en vitesse d'une Antenne : PI numérique et robustesse</t>
  </si>
  <si>
    <t>Commande en vitesse d'une Antenne  : RST et prédicteur de Smith</t>
  </si>
  <si>
    <t>Commande Machine Asynchrone : PID filtré et Modèle interne</t>
  </si>
  <si>
    <t>Spécifier, modéliser et concevoir les méthodes et algorithmes pour le traitement et la gestion de des flux de production</t>
  </si>
  <si>
    <t>Appréhender la lecture et l'écriture d'un cahier des charges</t>
  </si>
  <si>
    <t>Modéliser un système de production en vue de son analyse de performances et /ou son dimensionnement</t>
  </si>
  <si>
    <t>Analyser les propriétés du modèle liées au marquage initial : vivacité, bornage et réinitialisation</t>
  </si>
  <si>
    <t xml:space="preserve">Analyser les performances d'un système et le dimensionner </t>
  </si>
  <si>
    <t xml:space="preserve">Transférer ses connaissances à d'autres types de systèmes qui ne concernent pas la production </t>
  </si>
  <si>
    <t>Connaître l'outil Réseau de Petri</t>
  </si>
  <si>
    <t>Méthodologie pour modéliser un système de Production via les réseaux de Petri</t>
  </si>
  <si>
    <t>Méthodologie pour analyser les perfromances et/ou le dimensionnement d'un système de production</t>
  </si>
  <si>
    <t>Réseau de Petri, modélisation, analyse de perfromances et dimensionnement</t>
  </si>
  <si>
    <t>Développer la communication dans un système automatisé</t>
  </si>
  <si>
    <t>Implémenter la commande d'équipements industriels communicant en Modbus/TCP</t>
  </si>
  <si>
    <t>Conception d'Interface Homme Machine accessible via le Web</t>
  </si>
  <si>
    <t>Initiation aux réseaux de terrain industriels</t>
  </si>
  <si>
    <t>Sensibilisation à la cyber-sécurité</t>
  </si>
  <si>
    <t>Protocole de communication Modbus TCP, IHM Web</t>
  </si>
  <si>
    <t>Développer la commande d’un système discret</t>
  </si>
  <si>
    <t>Modéliser la facette commande d'un système du point de vue fonctionnel</t>
  </si>
  <si>
    <t>Encapsuler le savoir-faire dans un composant logiciel</t>
  </si>
  <si>
    <t>Capitaliser les savoir-faire et les rendre réutilisables</t>
  </si>
  <si>
    <t>Mise en œuvre dans un atelier logiciel industriel de programmation d'API</t>
  </si>
  <si>
    <t>Appréhender les concepts de l'ingénierie système</t>
  </si>
  <si>
    <t>Appréhender le cycle de vie d'un système</t>
  </si>
  <si>
    <t>Modélisation SysML</t>
  </si>
  <si>
    <t>Approche composants d'automatisme</t>
  </si>
  <si>
    <t>Simuler un système de production et le modéliser par un réseau de Petri</t>
  </si>
  <si>
    <t>Analyser, via un logiciel de simulation, les propriétés structurelles d'un système de production complexe</t>
  </si>
  <si>
    <t>Analyser, via un logiciel de simulation, les propriétés liées au marquage initial d'un système de production complexe</t>
  </si>
  <si>
    <t>Mise en œuvre du savoir-faire en Réseau de Petri sur un logiciel de simulation</t>
  </si>
  <si>
    <t>Analyser les résultats issus de la simulation et les critiquer</t>
  </si>
  <si>
    <t xml:space="preserve">Logiciel de simulation utilisant les réseau de Petri, Modélisation, Analyse </t>
  </si>
  <si>
    <t>Mettre en œuvre des principes et stratégies d’ordonnancement des tâches et de gestion</t>
  </si>
  <si>
    <t>Spécifier des contraintes d'ordonnancement dans un cahier des charges</t>
  </si>
  <si>
    <t>Modéliser des contraintes d'ordonnancement via les réseaux de Petri</t>
  </si>
  <si>
    <t>Calculer les invariants issus de l'ordonnancement</t>
  </si>
  <si>
    <t>Comprendre l'influence de l'ordonnancement sur les propriétés structurelles d'un réseau de Petri</t>
  </si>
  <si>
    <t>Notion de base d'ordonnancement dans un système de production</t>
  </si>
  <si>
    <t>Connaître l'influence de l'ordonnancement sur les propriétés du système de production</t>
  </si>
  <si>
    <t>Ordonancement et Réseau de Petri</t>
  </si>
  <si>
    <t>Initiation au Réseaux de Petri (20h Cours et 12h TD)</t>
  </si>
  <si>
    <t xml:space="preserve">Description des Réseaux de Petri ordinaires, généralisés </t>
  </si>
  <si>
    <t>Propriétés des Réseaux de Petri : Vivacité, bornage, réinitialisation</t>
  </si>
  <si>
    <t>Analyse graphique, puis algébrique de ces réseaux</t>
  </si>
  <si>
    <t>Réseaux de Petri P-temporisés</t>
  </si>
  <si>
    <t>Analyse de performances et  dimensionnement</t>
  </si>
  <si>
    <t>Simulation de flux et Analyse: mise en œuvre logicielle</t>
  </si>
  <si>
    <t xml:space="preserve">Composants d'Automatisme Multi-facettes (2h Cours et 3h TD) </t>
  </si>
  <si>
    <t>Approche composants d'Automatisme versus Grafcet</t>
  </si>
  <si>
    <t>Application aux systèmes de production</t>
  </si>
  <si>
    <t>Chaîne de traitement de Surface : Approche composants d'Automatisme</t>
  </si>
  <si>
    <t>Commande d'équipements via Modbus TCP et développement d'IHM dans le serveur Web d'un automate</t>
  </si>
  <si>
    <t>Réseau de Petri, modélisation, analyse de performances et dimensionnement, simulation</t>
  </si>
  <si>
    <t>Extraire une vue d'ensemble schématique du transfert d'énergie dans un système pluridisciplinaire</t>
  </si>
  <si>
    <t xml:space="preserve">Avoir une vue système des interconnexions entre éléments de stockage, de conversion et de transformation de l'énérgie </t>
  </si>
  <si>
    <t xml:space="preserve">Transférer une partie de ces connaissances sur les systèmes électriques à des systèmes hydrauliques, pneumatiques, mécaniques </t>
  </si>
  <si>
    <t>Connaissance sur les composants d'un système pluridisciplinaire</t>
  </si>
  <si>
    <t>Connaissance transversale : Electricité et Fluid Power et Mécatronique</t>
  </si>
  <si>
    <t>Système pluridisciplianire, Mécatronique</t>
  </si>
  <si>
    <t>Modéliser d'un système pluridisciplinaire</t>
  </si>
  <si>
    <t>Obtenir un modèle linéaire autour d'un point de fonctionnment</t>
  </si>
  <si>
    <t>Analyser le modèle linéaire en terme de stabilité, commandabilité et observabilité</t>
  </si>
  <si>
    <t>Connaître la modélisation système</t>
  </si>
  <si>
    <t>Connaître les notions de stabilité, commandabilité et observabilité</t>
  </si>
  <si>
    <t>Modélisation, Analyse, Stabilité, Commandabilité, Observabilité</t>
  </si>
  <si>
    <t>Mettre en oeuvre expérimentalement le contrôle d’un système continu</t>
  </si>
  <si>
    <t>Mettre en œuvre des stratégies de commande sur des cartes de prototypage rapide de lois de commande</t>
  </si>
  <si>
    <t>Mettre en œuvre des capteurs logiciels (observateurs) sur des cartes de prototypage rapide de lois de commande</t>
  </si>
  <si>
    <t>Identifier des systèmes physiques à partir de mesures expérimentales</t>
  </si>
  <si>
    <t>Savoir utiliser des cartes de protypage rapide de lois de commande</t>
  </si>
  <si>
    <t>Avoir des notions sur différents algorithmes d'identification et leur mise en œuvre</t>
  </si>
  <si>
    <t>Limites des régulateurs PID</t>
  </si>
  <si>
    <t>Carte de prototypage rapide de lois de commande, Matlab-Simulink, dSpace, Identification, anti-windup</t>
  </si>
  <si>
    <t>Mettre en oeuvre les étapes permettant le contrôle du fonctionnement d’un système continu</t>
  </si>
  <si>
    <t>Calculer les pôles d'un système continu et effectuer du placement de pôles</t>
  </si>
  <si>
    <t>Synthèser une commande par retour d'état</t>
  </si>
  <si>
    <t>Synthétiser des capteurs logiciels (observateurs)</t>
  </si>
  <si>
    <t>Connaître l'approche par variables d'état et savoir la comparer à une approche entrée/sortie</t>
  </si>
  <si>
    <t>Connaître la commande par retour d'état</t>
  </si>
  <si>
    <t>Connaître la synthèse d'oservateurs</t>
  </si>
  <si>
    <t>Commande par retour d'état, Observateur</t>
  </si>
  <si>
    <t>Mettre en oeuvre les étapes permettant la conception d’un système pluridisciplinaire</t>
  </si>
  <si>
    <t>Comprendre la nécessité d'une Ingénierie Système dans le cadre de la conception de systèmes complexes  de production</t>
  </si>
  <si>
    <t>Développer la démarche d'Ingénierie Système, les différentes étapes de la conception, la gestion des exigences</t>
  </si>
  <si>
    <t>Modélisation d'un système au moyen du langage SysML</t>
  </si>
  <si>
    <t>Mise en œuvre de la démarche d'Ingénierie Système pour la commande d'un système mécatronique</t>
  </si>
  <si>
    <t>Sensibilisation aux objectifs de performance industrielle</t>
  </si>
  <si>
    <t>Initiation à la norme ISO 15288</t>
  </si>
  <si>
    <t>Ingénierie Système, Modélisation SysML</t>
  </si>
  <si>
    <t xml:space="preserve">Avoir une vue système des interconnections entre éléments de stockage, de conversion et de transformation de l'énérgie </t>
  </si>
  <si>
    <t>Modéliser, Analyser et Commander un système continu pluridisciplinaire  (Cours 12h + TD 12h)</t>
  </si>
  <si>
    <t>Rappel sur les modèles (Bond-Graph) et variables d’état</t>
  </si>
  <si>
    <t>Analyse des systèmes linéaires</t>
  </si>
  <si>
    <t xml:space="preserve">Mise en oeuvre logicielle : Matlab / Simulink </t>
  </si>
  <si>
    <t>Synthèse de lois de Commande par retour d’état</t>
  </si>
  <si>
    <t>Etude d’un Actionneur EMA : Electro – Mechanical Actuator</t>
  </si>
  <si>
    <t>Etude d’un Actionneur EHA : Electro – Hydrostatic Actuator</t>
  </si>
  <si>
    <t>Etude de la commande d'un ABS : Antiblokiersystem</t>
  </si>
  <si>
    <t>Mettre en œuvre une démarche d'ingénierie système appliquée à la conception d'un système de production (Cours 6h + 4h TD)</t>
  </si>
  <si>
    <t xml:space="preserve">Sensibilisation à la nécessité d'une Ingénierie Système dans la conception de systèmes pluridisciplinaires </t>
  </si>
  <si>
    <t xml:space="preserve">A partir de l'expression du besoin initial, définition des exigences du système </t>
  </si>
  <si>
    <t>Définition de la structure fonctionnelle du système</t>
  </si>
  <si>
    <t>Définition de la structure organique</t>
  </si>
  <si>
    <t>Mise en application pour la commande d'un système mécatronique</t>
  </si>
  <si>
    <t>Travaux pratiques (16h TP)</t>
  </si>
  <si>
    <t>Commande par retour d'état pour le positionnement d'une antenne</t>
  </si>
  <si>
    <t xml:space="preserve">Commande d'un convertisseur buck et observateur d'état </t>
  </si>
  <si>
    <t>Commande d'un Système Mécatronique</t>
  </si>
  <si>
    <t>Pilotage d'un ATV 31 sur le Bus CANopen</t>
  </si>
  <si>
    <t>Prototypage rapide de lois de commande, Matlab-Simulink, dSpace, Identification, anti-windup, Hardware in the Loop</t>
  </si>
  <si>
    <t>Option CCSA</t>
  </si>
  <si>
    <t>Commande de Convertisseur et de Système d'Actionnement</t>
  </si>
  <si>
    <t>Etre capable de choisir un composant d'électronique de puissance pour la conversion d'énergie</t>
  </si>
  <si>
    <t>connaître les technologies pour pouvoir choisir un composant passif (condensateur, magnétiques)</t>
  </si>
  <si>
    <t>connaître les technologies de composants de puissance IGBT et MOSFET</t>
  </si>
  <si>
    <t>condensateur, matériaux magnétiques, IGBT, MOSFET</t>
  </si>
  <si>
    <t>Connaître et différencier les différents moyens de stocker de l'énergie électrique (batterie, super-condensateurs)</t>
  </si>
  <si>
    <t>Connaître la constitution et la fabrication de machines synhrones et asynchrones</t>
  </si>
  <si>
    <t>Connaître différentes topologies de convertisseurs résonnants ou quasi-résonnants</t>
  </si>
  <si>
    <t>Avoir des notions sur les convertisseurs utilisés dans le domainde des réseaux haute tension continus et alternatifs</t>
  </si>
  <si>
    <t>Appréhender la constitution d'un convertisseur industriel dans le domaine des transports</t>
  </si>
  <si>
    <t>Avoir des notions sur les problèmes de compatibilité électromagnétique</t>
  </si>
  <si>
    <t>Avoir des notions sur la constitution d'un réseau éléctrique d'un véhicule</t>
  </si>
  <si>
    <t>batteries, super-condensateurs, machines synschrones, machines asynchrones, moteurs, convertisseurs statique</t>
  </si>
  <si>
    <t>résonnance, réseaux électrique, HVDC, convertisseurs industriels, transports, CEM</t>
  </si>
  <si>
    <t>Etre capable de concevoir et de mettre en place expérimentalement une commande de machine synchrone à aimants</t>
  </si>
  <si>
    <t>Etre capable de modéliser pour la commande un sytème de conversion statique d'énergie</t>
  </si>
  <si>
    <t>Connaître les techniques de modulation pour onduleur et leurs impacts</t>
  </si>
  <si>
    <t>Connaître la constitution d'une chaîne de traction dans le domaine ferroviaire</t>
  </si>
  <si>
    <t>Etre capable de synthétiser une loi de commande pour un convertisseur avec une approche directe</t>
  </si>
  <si>
    <t>modélisation, modulations MLI, onduleur, chaîne de traction, dspace</t>
  </si>
  <si>
    <t>Etre capable de synthétiser une loi de commande pour un convertisseur avec une approche par modèle moyen</t>
  </si>
  <si>
    <t>Analyser des systèmes non linéaires</t>
  </si>
  <si>
    <t>Etablir des propriétés structurelles d'un système non linéaire : indice caractérisitique, dynamique résiduelle</t>
  </si>
  <si>
    <t>Etre capable de synthétiser une loi de commande pour une association onduleur/machine triphasée</t>
  </si>
  <si>
    <t>Initier à l'analyse de la stabilité des systèmes non linéaires</t>
  </si>
  <si>
    <t>Initier à la commande des systèmes non linéaires</t>
  </si>
  <si>
    <t>Avoir une vision sur l'interêt du prototypage rapide de loi de commande pour la recherche et le développement</t>
  </si>
  <si>
    <t>Etre initié à l'analyse de la stabilité des systèmes non linéaires</t>
  </si>
  <si>
    <t>Etre initié à la commande des systèmes non linéaires</t>
  </si>
  <si>
    <t>Stabilité des systèmes non linéaires, Commande non linéaire, Platitude, Commande par modes glissants</t>
  </si>
  <si>
    <t>CCSA1 : Conception et Commande de Convertisseurs (50h)</t>
  </si>
  <si>
    <t>Commande vectorielle, Commande prédictive, modèle hybride, prototypage rapide de loi de commande</t>
  </si>
  <si>
    <t>Composants actifs et passifs</t>
  </si>
  <si>
    <t>Conception de convertisseurs</t>
  </si>
  <si>
    <t>Modélisation / Commande classique des convertisseurs</t>
  </si>
  <si>
    <t>Commande directe et modulations</t>
  </si>
  <si>
    <t>Applications industrielles de convertisseurs</t>
  </si>
  <si>
    <t>CCSA2 : Conception et Commande des Actionneurs (50h)</t>
  </si>
  <si>
    <t>Conception et  dimensionnement des machines électriques</t>
  </si>
  <si>
    <t>Modélisation dynamique</t>
  </si>
  <si>
    <t>Commande vectorielle (machine + convertisseur)</t>
  </si>
  <si>
    <t>Systèmes non-linéaires : analyse et commande</t>
  </si>
  <si>
    <t>Prototypage rapide de lois de commande</t>
  </si>
  <si>
    <t>CCSA3 : Illustrations et Applications Véhicules (50h)</t>
  </si>
  <si>
    <t xml:space="preserve">Stockage et gestion de l’énergie dans un véhicule électrique </t>
  </si>
  <si>
    <t>Architecture électrique et problématique CEM d’un camion</t>
  </si>
  <si>
    <t>Chaine de traction ferroviaire</t>
  </si>
  <si>
    <t>Dynamique d’un véhicule et développement d’un concept-car</t>
  </si>
  <si>
    <t>Système de freinage</t>
  </si>
  <si>
    <t>Infrastructure de rechargement d’un véhicule</t>
  </si>
  <si>
    <t>Visite de sites industriels : Volvo, Leroy Somer</t>
  </si>
  <si>
    <t>Visite de Laboratoires de recherche</t>
  </si>
  <si>
    <t>CCSA4 : Projet en bureau d'étude (30h)</t>
  </si>
  <si>
    <t>Commande de convertisseur et machine synchrone à aimant permanent</t>
  </si>
  <si>
    <t>Modélisation, Analyse et Synthèse de stratégies de commande</t>
  </si>
  <si>
    <t>Simulation via Matlab /Simulink</t>
  </si>
  <si>
    <t>Expérimentation des lois de commande sur banc d’essais via des outils de prototypage rapide</t>
  </si>
  <si>
    <t>Présentation des résultats obtenus et Analyse</t>
  </si>
  <si>
    <t>Analyser le fonctionnement de l'entreprise de production selon le modèle inspiré de la pyramide CIM</t>
  </si>
  <si>
    <t>Niveau Process : Dimensionner des équipements en technologie pneumatique, électro-pneumatique. Commander un robot poly-articulé</t>
  </si>
  <si>
    <t>Niveau Contrôle - Commande : Développer la commande de procédés industriels de type manufacturier (API et IHM)</t>
  </si>
  <si>
    <t>Développer la communication industrielle en implémentant les standards des réseaux de terrain, la technologie OPC, les Web Services</t>
  </si>
  <si>
    <t>Initiation aux capteurs et actionneurs spécifiques aux industries de process</t>
  </si>
  <si>
    <t>Initiation à la commande de process continus en utilisant des SNCC (Systèmes Numériques de Contrôle Commande)</t>
  </si>
  <si>
    <t>Sensibilisation à la sécurité Machines et à la cyber-sécurité</t>
  </si>
  <si>
    <t>Industries manufacturières et de process : Capteurs, actionneurs,Robot, API, IHM, SNCC, Réseaux de communication, OPC, Web Services</t>
  </si>
  <si>
    <t>Développer une application de MES (Manufacturing Execution System)</t>
  </si>
  <si>
    <r>
      <t xml:space="preserve">Développer, au sein d'un MES, les fonctionnalités d'exécution des fabrications et de suivi de la production (indicateurs de performance </t>
    </r>
    <r>
      <rPr>
        <sz val="11"/>
        <rFont val="Calibri"/>
        <family val="2"/>
        <scheme val="minor"/>
      </rPr>
      <t>et gestion de la qualité</t>
    </r>
    <r>
      <rPr>
        <sz val="11"/>
        <color theme="1"/>
        <rFont val="Calibri"/>
        <family val="2"/>
        <scheme val="minor"/>
      </rPr>
      <t>)</t>
    </r>
  </si>
  <si>
    <t>Initiation aux différents types de systèmes d'information industriels en industries manufacturières et de process</t>
  </si>
  <si>
    <t>Initiation aux spécificités des applications MES dans l'industrie de process</t>
  </si>
  <si>
    <t>Systèmes d'information, MES</t>
  </si>
  <si>
    <t>Réfléchir à l'organisation de l'entreprise en utilisant des démarches d'amélioration continue de type Lean Management</t>
  </si>
  <si>
    <t>Développer le travail collaboratif au sein d'équipes projets favorisant les technologies innovantes et utilsant les concepts de l'Ingénierie Système</t>
  </si>
  <si>
    <t>Analyser un système et mettre en place  l'ordonnancement</t>
  </si>
  <si>
    <t>Initiation au droit du travail et des contrats</t>
  </si>
  <si>
    <t>Amélioration continue, Lean Management, Ingénierie Système, Ordonnancement</t>
  </si>
  <si>
    <t>1- Niveau Atelier Contrôle Commande (Cours 39,5h + TD/TP/Projet 25,5h)</t>
  </si>
  <si>
    <t>2- Niveau MES  (Cours 10h + Projet 32h)</t>
  </si>
  <si>
    <t>3- Niveau Stratégie de l'entreprise (Cours 20h + Projet 8h)</t>
  </si>
  <si>
    <t>Pédagogie par projets collectifs (Projet 40h)</t>
  </si>
  <si>
    <t>Visite d'un site industriel</t>
  </si>
  <si>
    <t>Pédagogie par projet</t>
  </si>
  <si>
    <r>
      <rPr>
        <b/>
        <strike/>
        <sz val="11"/>
        <color rgb="FFFF0000"/>
        <rFont val="Calibri"/>
        <family val="2"/>
        <scheme val="minor"/>
      </rPr>
      <t>2</t>
    </r>
    <r>
      <rPr>
        <b/>
        <sz val="11"/>
        <color rgb="FFFF0000"/>
        <rFont val="Calibri"/>
        <family val="2"/>
        <scheme val="minor"/>
      </rPr>
      <t xml:space="preserve"> 1</t>
    </r>
  </si>
  <si>
    <r>
      <rPr>
        <b/>
        <sz val="11"/>
        <color rgb="FFFF0000"/>
        <rFont val="Calibri"/>
        <family val="2"/>
        <scheme val="minor"/>
      </rPr>
      <t>Automatique 2</t>
    </r>
    <r>
      <rPr>
        <sz val="11"/>
        <color theme="1"/>
        <rFont val="Calibri"/>
        <family val="2"/>
        <scheme val="minor"/>
      </rPr>
      <t xml:space="preserve"> </t>
    </r>
    <r>
      <rPr>
        <strike/>
        <sz val="11"/>
        <color rgb="FFFF0000"/>
        <rFont val="Calibri"/>
        <family val="2"/>
        <scheme val="minor"/>
      </rPr>
      <t>Continue</t>
    </r>
  </si>
  <si>
    <r>
      <rPr>
        <b/>
        <sz val="11"/>
        <color rgb="FFFF0000"/>
        <rFont val="Calibri"/>
        <family val="2"/>
        <scheme val="minor"/>
      </rPr>
      <t>Automatique 3</t>
    </r>
    <r>
      <rPr>
        <sz val="11"/>
        <color rgb="FFFF0000"/>
        <rFont val="Calibri"/>
        <family val="2"/>
        <scheme val="minor"/>
      </rPr>
      <t xml:space="preserve"> </t>
    </r>
    <r>
      <rPr>
        <strike/>
        <sz val="11"/>
        <color rgb="FFFF0000"/>
        <rFont val="Calibri"/>
        <family val="2"/>
        <scheme val="minor"/>
      </rPr>
      <t>SED</t>
    </r>
  </si>
  <si>
    <t>Design et analyse de lignes de transmission</t>
  </si>
  <si>
    <t>Différents types de lignes de transmission</t>
  </si>
  <si>
    <t>Différents régimes: sinuisoidal, impulsionnel</t>
  </si>
  <si>
    <t>Différents régimes d'ondes: progressive, stationnaire, etc.</t>
  </si>
  <si>
    <t>Abaque de Smith</t>
  </si>
  <si>
    <t>ligne bifilaire, coaxiale, microstrip, abaque de Smith, stubs d'adaptation</t>
  </si>
  <si>
    <t>Déterminer les caractéristiques électriques d'une ligne de transmission à partir de ses paramètres physiques</t>
  </si>
  <si>
    <t>Calculs des paramètres primaires et secondaires d'une ligne de transmission</t>
  </si>
  <si>
    <t>Equations des télégraphistes</t>
  </si>
  <si>
    <t>tangente de pertes, affaiblissement, vitesse de phase et de groupe</t>
  </si>
  <si>
    <t>Savoir évaluer le transfert de puissance sur une ligne et entre des composants hautes fréquences</t>
  </si>
  <si>
    <t>Ondes de puissance, coefficients de réflexion/transmission</t>
  </si>
  <si>
    <t>paramètres S</t>
  </si>
  <si>
    <t>Utilisation d'outils de simulation radio-fréquences</t>
  </si>
  <si>
    <t>Manipulation des échelles décibels</t>
  </si>
  <si>
    <t>Formalisme des paramètres S d'un système</t>
  </si>
  <si>
    <t>Outils de mesure hautes fréquences</t>
  </si>
  <si>
    <r>
      <rPr>
        <b/>
        <strike/>
        <sz val="11"/>
        <color rgb="FFFF0000"/>
        <rFont val="Calibri"/>
        <family val="2"/>
        <scheme val="minor"/>
      </rPr>
      <t xml:space="preserve">1 </t>
    </r>
    <r>
      <rPr>
        <b/>
        <sz val="11"/>
        <color rgb="FFFF0000"/>
        <rFont val="Calibri"/>
        <family val="2"/>
        <scheme val="minor"/>
      </rPr>
      <t>2</t>
    </r>
  </si>
  <si>
    <t>Modélisation des filtres linéaires invariants analogiques et numériques</t>
  </si>
  <si>
    <t>Fonctions d’approximation des filtres linéaires invariants</t>
  </si>
  <si>
    <t>Structures des filtres analogiques actifs</t>
  </si>
  <si>
    <t>Structures des filtres numériques</t>
  </si>
  <si>
    <t xml:space="preserve">Etre capable d'analyser, formaliser ou modéliser </t>
  </si>
  <si>
    <t>Modéliser un problème de filtrage et synthétiser un filtre analogique ou numérique</t>
  </si>
  <si>
    <t>Relations entre les Transformée de Fourier, Laplace et Z</t>
  </si>
  <si>
    <t>Modélisation des systèmes et des signaux</t>
  </si>
  <si>
    <t>Modélisation de l’échantillonnage des signaux</t>
  </si>
  <si>
    <t>Modélisation de la quantification des signaux échantillonnés</t>
  </si>
  <si>
    <t>Modélisation des processus aléatoires</t>
  </si>
  <si>
    <t>Corrélation et densité spectrale</t>
  </si>
  <si>
    <t xml:space="preserve">Etre capable de résoudre un problème en maîtrisant les limites </t>
  </si>
  <si>
    <t>Théorème de Shannon</t>
  </si>
  <si>
    <t xml:space="preserve">Etre capable d'observer, d'identifier, de mesurer, d'expérimenter </t>
  </si>
  <si>
    <t xml:space="preserve">Etre capable de collecter, analyser et interpréter des données </t>
  </si>
  <si>
    <t>Observer et analyser un signal, son spectre et les effets de l’échantillonnage</t>
  </si>
  <si>
    <t>Observer et analyser le comportement des filtres</t>
  </si>
  <si>
    <t>COMPETENCES EN SCIENCES POUR L'INGENIEUR</t>
  </si>
  <si>
    <t>Etre capable de concevoir et développer des logiciels de bas niveau  interruptibles</t>
  </si>
  <si>
    <t>Etre capable de concevoir et développer des logiciels en Orienté Objet</t>
  </si>
  <si>
    <t>Structure des applications informatiques gérant des interruptions</t>
  </si>
  <si>
    <t>4 Paradigmes OO : encapsulation, héritage, polymorphisme, généricité</t>
  </si>
  <si>
    <t>Langage UML : diagramme de class</t>
  </si>
  <si>
    <t>Etre capable d'observer, d'identifier et d'expérimenter l'éxécution d'un programme en langage machine avec interruption</t>
  </si>
  <si>
    <t>Etre capable d'utiliser la pile pour ses usages de base en langage machine</t>
  </si>
  <si>
    <t>Etre capable de définir et d'utiliser des variables en langage machine</t>
  </si>
  <si>
    <t>Etre capable d'écrire et tester un programme en langage machine interruptible en environnement de base X86</t>
  </si>
  <si>
    <t>Etre capable d'observer, d'identifier et d'expérimenter l'exécution d'un programme en langage C++</t>
  </si>
  <si>
    <t>Etre capable de modéliser les constituants d’un système avec le diagrammes de classe en UML</t>
  </si>
  <si>
    <t>Etre capable d’implémenter une application orientée objet en C++</t>
  </si>
  <si>
    <t>Etre capable d'écrire et tester un programme en langage C++</t>
  </si>
  <si>
    <t>Accès mémoires en environnement segmenté</t>
  </si>
  <si>
    <t>Fonctionnement de la pile sur un processeur</t>
  </si>
  <si>
    <t>Principe et fonctionnement des interruptions vectorisées</t>
  </si>
  <si>
    <t>Notions de bas sur le fonctionnement et la programmation en langage machine des processeurs compatible X86</t>
  </si>
  <si>
    <t>Langage C++ : class, operator, std</t>
  </si>
  <si>
    <t>Notions sur la compilation et le développement langage C/C++</t>
  </si>
  <si>
    <t>Compétences Mobilisées</t>
  </si>
  <si>
    <t>Mettre en œuvre les différentes phases de gestion d’un projet</t>
  </si>
  <si>
    <t>Savoir analyser et rédiger des documents professionnels</t>
  </si>
  <si>
    <t xml:space="preserve"> à inclure dans les compétences ci-dessus</t>
  </si>
  <si>
    <t>Travailler en équipes (Management d'équipe, Répartition des tâches)</t>
  </si>
  <si>
    <t>S'organiser et plannifier</t>
  </si>
  <si>
    <t>Communiquer à  l'oral et à l'écrit</t>
  </si>
  <si>
    <t>Outils de gestion de projet (Planning, Budget)</t>
  </si>
  <si>
    <t>Elements de base en management d'équipe</t>
  </si>
  <si>
    <t>Critères de qualité d'un écrit professionnel</t>
  </si>
  <si>
    <t>Equipe</t>
  </si>
  <si>
    <t>Projet</t>
  </si>
  <si>
    <t>Communication</t>
  </si>
  <si>
    <t>Mener des recherches sur un domaine inconnu et en maitriser rapidement les bases</t>
  </si>
  <si>
    <t>Référencement</t>
  </si>
  <si>
    <t>Recherche documentaire</t>
  </si>
  <si>
    <t>Innover dans un domaine inconnu</t>
  </si>
  <si>
    <t>Etudier les opportunités de marché</t>
  </si>
  <si>
    <t>Analyses fonctionnelles</t>
  </si>
  <si>
    <t>Etude de marché</t>
  </si>
  <si>
    <t>Innovation</t>
  </si>
  <si>
    <t>Définir l'éco-système d'une entreprise</t>
  </si>
  <si>
    <t>Business Model</t>
  </si>
  <si>
    <t>Méthodologies (PMBOK)</t>
  </si>
  <si>
    <t>Outils de base en gestion d'équipe</t>
  </si>
  <si>
    <t>Mener des recherches sur un domaine inconnu</t>
  </si>
  <si>
    <t>Se situer dans un collectif de travail, trouver sa place</t>
  </si>
  <si>
    <t>Veille technologique</t>
  </si>
  <si>
    <t>Monter un business plan</t>
  </si>
  <si>
    <t>Imaginer le fonctionnement d'une nouvelle entreprise de façon très concréte</t>
  </si>
  <si>
    <t>Marketing</t>
  </si>
  <si>
    <t>Bases en Comptabilité / Finance</t>
  </si>
  <si>
    <t>Business plan</t>
  </si>
  <si>
    <t>Mener une réflexion éthique sur un produit ou un service</t>
  </si>
  <si>
    <t>Analyser les impacts sociétaux et environnementaux</t>
  </si>
  <si>
    <t>Gérer des situations difficiles en équipe</t>
  </si>
  <si>
    <t>Ethique</t>
  </si>
  <si>
    <t>Présenter son projet en anglais</t>
  </si>
  <si>
    <t>Travailler dans une équipe multi-culturelle</t>
  </si>
  <si>
    <t>Culture</t>
  </si>
  <si>
    <t>Anglais</t>
  </si>
  <si>
    <t>OBJECTIF</t>
  </si>
  <si>
    <t>S'organiser et planifier</t>
  </si>
  <si>
    <t>En mode projet sur HU1 et HU2, mener à bien, et en équipe, un projet de création d'entreprise</t>
  </si>
  <si>
    <t>de la définition d'un concept de produit jusqu'à la réalisation d'un plan d'affaire.</t>
  </si>
  <si>
    <t>HU2 :</t>
  </si>
  <si>
    <t>6h Cours</t>
  </si>
  <si>
    <t>29h TD</t>
  </si>
  <si>
    <t>MOTS CLEFS</t>
  </si>
  <si>
    <t>Etre capable de comprendre et d'appliquer les transformées de Fourier, Laplace et z</t>
  </si>
  <si>
    <t>signaux,  transformées de Fourier, Laplace, z</t>
  </si>
  <si>
    <t>Savoir déterminer le régime forcé, le régime libre, la fonction de transfert, la stabilité d'un système</t>
  </si>
  <si>
    <t>temps continu et discret, système linéaire, convolution, réponse harmonique, stabilité</t>
  </si>
  <si>
    <t>Comprendre et dialoguer avec un spécialiste des transferts thermiques</t>
  </si>
  <si>
    <t>Choisir des matériaux pour le contrôle thermique de systèmes électriques/électroniques</t>
  </si>
  <si>
    <t xml:space="preserve">Résoudre un problème simple de transfert de chaleur </t>
  </si>
  <si>
    <t>Principales propriétés thermophysiques mises en jeux dans un problème de transfert de chaleur</t>
  </si>
  <si>
    <t>Modes de transferts de chaleur et ordre de grandeur</t>
  </si>
  <si>
    <t>Technologie de refroidissement passifs et actifs de systèmes électriques/électroniques</t>
  </si>
  <si>
    <t>Conductivité thermique, diffusivité thermique, Chaleur spécifique, Effusivité, Résistance de contact.</t>
  </si>
  <si>
    <t>Prendre en compte les contraintes thermiques dans le choix des composants</t>
  </si>
  <si>
    <t>Prendre en compte les contraintes thermiques dans la conception d'une carte électronique</t>
  </si>
  <si>
    <t>Modèlisation thermique de composants</t>
  </si>
  <si>
    <t>Technologie de refroidissement passifs et actifs des composants</t>
  </si>
  <si>
    <t>Température de jonction, Résistance thermique jonction_boitier, Résistance thermique jonction_air.</t>
  </si>
  <si>
    <t>Prendre en compte les contraintes thermiques dans la conception des systèmes</t>
  </si>
  <si>
    <t xml:space="preserve">Modèlisation thermique des systèmes </t>
  </si>
  <si>
    <t>Mise en œuvre des méthodes nodales et des méthodes numériques</t>
  </si>
  <si>
    <t>Technologie de refroidissement passifs et actifs de systèmes</t>
  </si>
  <si>
    <t>Conduction, Convection, Rayonnement</t>
  </si>
  <si>
    <t>Prendre en compte les contraintes thermiques dans la conception des systèmes électroniques</t>
  </si>
  <si>
    <t>Modèlisation thermique des composants</t>
  </si>
  <si>
    <t>Développer, au sein d'un MES, les fonctionnalités d'exécution des fabrications et de suivi de la production (indicateurs de performance et gestion de la qualité)</t>
  </si>
  <si>
    <t>UE GE-5-PFE</t>
  </si>
  <si>
    <t>Projet de Fin d'Etudes</t>
  </si>
  <si>
    <t>prendre en compte les enjeux industriels et économiques</t>
  </si>
  <si>
    <t>Le PFE est le dernier projet dans la formation. Il s’agit d’une expérience de travail de terrain d'un ingénieur dans une entreprise dans le cadre d'une mission technique de longue durée. Le domaine technique support du PFE permet de développer les compétences spécifiques de la spécialité choisie dans le cadre d’une réflexion personnelle sur le projet professionnel.</t>
  </si>
  <si>
    <t>s'approprier les différentes phases d'un projet</t>
  </si>
  <si>
    <t xml:space="preserve">se sensibiliser au travail en contexte international </t>
  </si>
  <si>
    <t>capacité</t>
  </si>
  <si>
    <t>se sensibiliser à l'importance d'une réflexion éthique pour prendre en compte les enjeux sociétaux</t>
  </si>
  <si>
    <t>gérer son temps et son projet</t>
  </si>
  <si>
    <t>analyser et rédiger des documents professionnels</t>
  </si>
  <si>
    <t>connaissance</t>
  </si>
  <si>
    <t>recherche de stage</t>
  </si>
  <si>
    <t>démarche projet</t>
  </si>
  <si>
    <t>s'intégrer dans une équipe, contribuer à l'animer, à l'organiser et à la faire évoluer</t>
  </si>
  <si>
    <t>utiliser les différents moyens de communication au sein de l'entreprise en s'adaptant à son interlocuteur</t>
  </si>
  <si>
    <t xml:space="preserve">Les étudiants sont autonomes dans leurs démarches auprès des entreprises. Les sujets sont d'une part, collectés par le service des stages du département et l'Espace Avenir Ingénieur de l'INSA et d'autre part résultent de candidatures spontanées ou réponses à offres de journaux, sites spécialisés, réseaux professionnels, AIDIL. </t>
  </si>
  <si>
    <t>Chaque sujet de PFE est évalué au préalable par une commission de validation qui s'assure du contenu et du potentiel technique du sujet proposé. La majorité des sujets sont proposés par des ingénieurs et entreprises connus et dont le potentiel technique est reconnu.</t>
  </si>
  <si>
    <t>compétences métier, relations humaines, communication</t>
  </si>
  <si>
    <t xml:space="preserve">Chaque étudiant stagiaire est encadré par un ingénieur-tuteur. Un enseignant assure la fonction de tuteur pédagogique et le suivi de l'école. </t>
  </si>
  <si>
    <t xml:space="preserve">Le PFE s’effectue au deuxième semestre. Les deux premiers mois sont à temps partiel en parallèle avec d’autres cours et se terminent par une revue initiale de projet à l’école permettant une évaluation de la pré-étude. Le PFE est ensuite réalisé à temps plein. En fin de projet, une soutenance est organisée à l’école devant un jury composé d’enseignants, de l'ingénieur-tuteur et du tuteur pédagogique. </t>
  </si>
  <si>
    <t>prendre en compte les enjeux du management de l'innovation</t>
  </si>
  <si>
    <t>UE 44</t>
  </si>
  <si>
    <t>STAGE</t>
  </si>
  <si>
    <t>Ce stage est la première expérience de travail de terrain d'un ingénieur dans une entreprise dans le cadre d'une mission technique de longue durée. Le domaine technique support de son stage permet de développer les compétences spécifiques de la spécialité de son choix lui demandant de mener une réflexion personnelle dans le cadre de son projet professionnel</t>
  </si>
  <si>
    <t>Les sujets sont d'une part, collectés par le service des stages du département et l'Espace Avenir Ingénieur de l'INSA et d'autre part résultent de candidatures spontanées ou réponses à offres de journaux ou sites spécialisés. Les étudiants sont autonomes dans leurs démarches auprès des entreprises.</t>
  </si>
  <si>
    <t>Chaque sujet de stage est évalué au préalable par le responsable de stage qui s'assure du contenu et du potentiel technique du sujet proposé. La majorité des sujets sont proposés par des ingénieurs et entreprises connus et dont le potentiel technique est reconnu.</t>
  </si>
  <si>
    <t>Chaque étudiant stagiaire est encadré par un ingénieur-tuteur. Un enseignant assure la fonction de tuteur pédagogique et le suivi de l'école. Une soutenance est organisée en entreprise à la fin du stage devant l'ingénieur-tuteur et l'enseignant tuteur et généralement devant l'équipe d'accueil.</t>
  </si>
  <si>
    <t>La durée minimale du stage est de 24 semaines. Il s'effectue durant le premier ou le deuxième semestre.</t>
  </si>
  <si>
    <t>Travaux Pratiques Transversaux</t>
  </si>
  <si>
    <r>
      <t xml:space="preserve">Compétence ciblée </t>
    </r>
    <r>
      <rPr>
        <b/>
        <sz val="11"/>
        <color rgb="FF000000"/>
        <rFont val="Calibri"/>
        <family val="2"/>
      </rPr>
      <t>C</t>
    </r>
    <r>
      <rPr>
        <sz val="11"/>
        <color theme="1"/>
        <rFont val="Calibri"/>
        <family val="2"/>
        <scheme val="minor"/>
      </rPr>
      <t xml:space="preserve"> ou mobilisée </t>
    </r>
    <r>
      <rPr>
        <b/>
        <sz val="11"/>
        <color rgb="FF000000"/>
        <rFont val="Calibri"/>
        <family val="2"/>
      </rPr>
      <t>M</t>
    </r>
  </si>
  <si>
    <t>Etre capable d'analyser un système mettant en œuvre plusieurs domaines du génie électrique</t>
  </si>
  <si>
    <t>Etre capable de réquisitionner des connaissances aquises sur les autres années au département</t>
  </si>
  <si>
    <t>Connaître les bases de l'analyse spectrale et de la CEM</t>
  </si>
  <si>
    <t>Connaître le principe de fonctionnement et les éléments constituant un système de pilotage de machines électriques</t>
  </si>
  <si>
    <t>Connaître le fonctionnement d'un système de correction de facteur de puissance</t>
  </si>
  <si>
    <t xml:space="preserve">Étude approfondie et pratique d'équipements électriques avec une approche système. </t>
  </si>
  <si>
    <t>Les systèmes étudiés concernent tous les domaines du Génie Électrique (EEIAT).</t>
  </si>
  <si>
    <t>15 manipulations pratiques de 4 h sur les thèmes suivants : analyse spectrale et CEM,</t>
  </si>
  <si>
    <t xml:space="preserve"> vision industrielle, ZigBee, identification de systèmes, régulation non-linéaire, </t>
  </si>
  <si>
    <t>API et Web Services, variation de vitesse, correction de facteur de puissance.</t>
  </si>
  <si>
    <t>Etre capable d'appréhender un système de vision industrielle</t>
  </si>
  <si>
    <t>Connaître le principe de fonctionnement d'un système de télécommunication</t>
  </si>
  <si>
    <t>Etre capable de traiter un problème de commande d'un système mécatronique</t>
  </si>
  <si>
    <t>Etre capable d'utiliser des techniques automatiques pour l'identification des systèmes dynamiques linéaires</t>
  </si>
  <si>
    <t>Appréhender la commande d'un système non-linéaire</t>
  </si>
  <si>
    <t>Projet de réalisation technique</t>
  </si>
  <si>
    <t>Concevoir un projet technique couvrant plusieurs doamines du Génie Electrique</t>
  </si>
  <si>
    <t>Dimensionnement d'un système technique</t>
  </si>
  <si>
    <t>Découpé un projet sous forme de sous-fonction</t>
  </si>
  <si>
    <t xml:space="preserve">Modéliser et simuler des systèmes électrique </t>
  </si>
  <si>
    <t>Choisir des composants pour une application donnée</t>
  </si>
  <si>
    <t>Modélisation de système sous forme de schéma équivalent</t>
  </si>
  <si>
    <t xml:space="preserve">Concevoir un projet technique </t>
  </si>
  <si>
    <t>Simulation de fonction électronique et/ou électrique</t>
  </si>
  <si>
    <t>Analyse de solution technique</t>
  </si>
  <si>
    <t>simulation, modélisation, schéma bloc</t>
  </si>
  <si>
    <t>Réalisation un projet technique</t>
  </si>
  <si>
    <t>Réaliser et mettre en œuvre un projet technique couvrant plusieurs domaines du Génie Electrique</t>
  </si>
  <si>
    <t>CAPACITES: Réalisation de prototype de système électrique</t>
  </si>
  <si>
    <t>Réalisation d'un système électrique</t>
  </si>
  <si>
    <t>CONNAISSANCE: Plan d'expérience pour validation, procédure de réalisation de prototype</t>
  </si>
  <si>
    <t>Réalisation de prototype de circuit ou d'un système électronique ou électrique</t>
  </si>
  <si>
    <t>Prototype,  intégration</t>
  </si>
  <si>
    <t>Agancement de composants</t>
  </si>
  <si>
    <t>Définition et réalisation des tests de validation</t>
  </si>
  <si>
    <t>Travail en équipe et analyse fonctionnelle</t>
  </si>
  <si>
    <t>Procédure de réalisation de prototype, réalisation de typon</t>
  </si>
  <si>
    <t>Plan d'expériences pour la validation du projet</t>
  </si>
  <si>
    <t>Prototype, soudage, routage, intégration</t>
  </si>
  <si>
    <t>Les thèmes abordés sont très larges et peuvent varier d'une année à l'autre.</t>
  </si>
  <si>
    <t>Se situer, travailler, évoluer dans le cadre d'un projet technique en équipe</t>
  </si>
  <si>
    <t>Pour information voici quelques sujets proposés :</t>
  </si>
  <si>
    <t>Travail en équipe</t>
  </si>
  <si>
    <t>"Maquette de machine synchrone didactique"</t>
  </si>
  <si>
    <t>"Commande numérique de moteur à courant continu"</t>
  </si>
  <si>
    <t>"Asservissement de position d'un panneau solaire photovoltaïque"</t>
  </si>
  <si>
    <t>"Portage d'un cœur de microcontrôleur sur FPGA"</t>
  </si>
  <si>
    <t>Contexte industriel et académique en termes de réalisation de projet technique dans le domaine du génie électrique</t>
  </si>
  <si>
    <t>"Cardio fréquencemètre-podomètre"</t>
  </si>
  <si>
    <t>Travail en équipe, gestion de projet, rendu de projet</t>
  </si>
  <si>
    <t>"Centrale météorologique"</t>
  </si>
  <si>
    <t>"Géolocalisation par GPS"</t>
  </si>
  <si>
    <t>Etude d'un projet sous forme d'analyse fonctionnelle</t>
  </si>
  <si>
    <t>Réaliser une analyse fonctionnelle autour d'un projet technique</t>
  </si>
  <si>
    <t>Structure et démarche classiques d'analyse fonctionnelle</t>
  </si>
  <si>
    <t>Analyse fonctionnelle, rendu de projet</t>
  </si>
  <si>
    <t>Décrire un circuit numérique destiné à être synthétisé via le langage de description matérielle VHDL</t>
  </si>
  <si>
    <t>Etre capable de formaliser et simplifier des systèmes en logique combinatoire</t>
  </si>
  <si>
    <t>Etre capable de concevoir et d'analyser des systèmes en logique combinatoire</t>
  </si>
  <si>
    <t>Etre capable de réaliser des fonctions en logique combinatoire avec des composants standards</t>
  </si>
  <si>
    <t>Etre capable de réaliser des fonctions de multiplexage et démultiplexage</t>
  </si>
  <si>
    <t>Etre capable de formaliser et simplifier des systèmes en logique séquentielle</t>
  </si>
  <si>
    <t>Etre capable de concevoir et analyser des systèmes en logique séquentielle</t>
  </si>
  <si>
    <t>Algèbre booléenne, Opérateurs et fonctions logiques de base, leurs propriétés</t>
  </si>
  <si>
    <t>Systèmes de numérations, bases</t>
  </si>
  <si>
    <t>Fonctions séquentielles et leurs synthèses</t>
  </si>
  <si>
    <t>Eléments constitutifs des systèmes logiques séquentiels</t>
  </si>
  <si>
    <t xml:space="preserve">Opérateurs logiques, fonctions booléennes, Bascules, compteurs, </t>
  </si>
  <si>
    <t>Technologie des composants</t>
  </si>
  <si>
    <t>Compétence3</t>
  </si>
  <si>
    <t>Etre capable d'appréhender les outils informatiques de l'ingénieur</t>
  </si>
  <si>
    <t>Etre capable de développer des logiciels de haut niveau sur des systèmes informatiques à ressources contraintes</t>
  </si>
  <si>
    <t>Etre capable d'analyser et concevoir un projet informatique</t>
  </si>
  <si>
    <t>Syntaxe élémentaire du langage C/C++</t>
  </si>
  <si>
    <t>Algorithmes standards  (tri, manipulation de tableaux et matrices)</t>
  </si>
  <si>
    <t>Notions fondamentales des Systèmes d'Exploitation et de la compilation</t>
  </si>
  <si>
    <t>Notions fondamentales de la compilation</t>
  </si>
  <si>
    <t>langage C/C++, compilation, fonction, passage de paramères, gestion dynamique de la mémoire</t>
  </si>
  <si>
    <t xml:space="preserve">L'algèbre de Boole repose sur l'utilisation des opérateurs OU et ET et sept axiomes sont nécessaires pour décrire complètement les propriétés de cette algèbre particulière. </t>
  </si>
  <si>
    <t>Modèles mathématiques des systèmes logiques combinatoire et séquentiel, Constituants basiques des systèmes combinatoires : codeurs, multiplexeurs, circuits programmables (FPLA), additionneurs, comparateurs, Constituants basiques des systèmes séquentiels : bascules asynchrones (RS, RST) et synchrones (maitre-esclave, JK, T, D) -Analyse et synthèse des systèmes séquentiels synchrones : compteurs et registres usuels</t>
  </si>
  <si>
    <t>L'algèbre de Boole</t>
  </si>
  <si>
    <t xml:space="preserve">Cela permet d'établir ensuite certaines règles très utiles pour effectuer les calculs. D'autres opérateurs sont déduits des deux opérateurs de base ce sont les NOR et les NAND, la somme disjonctive et le OU exclusif ainsi que l'implication. Les méthodes de recherche des solutions minimales des fonctions booléennes sont ensuite décrites et des exemples d'application sont donnés et résolus. Enfin, certaines techniques de codage permettant de détecter et de corriger les erreurs de transmission sont traitées. </t>
  </si>
  <si>
    <t xml:space="preserve">Langage C </t>
  </si>
  <si>
    <t xml:space="preserve">Les bases du langage C sont données en cours et les étudiants les appliquent en codant des projets durant les Travaux Dirigés sur machine informatique. </t>
  </si>
  <si>
    <t xml:space="preserve">Système logique </t>
  </si>
  <si>
    <t>Technologie composants</t>
  </si>
  <si>
    <t>Opérateurs logiques, fonctions booléennes, Bascules, compteurs</t>
  </si>
  <si>
    <t>Etre capable d'évaluer et comparer des approches mathématiques et algorithmiques</t>
  </si>
  <si>
    <t>Etre capable de planifier et organiser une réalisation informatique en petit groupe</t>
  </si>
  <si>
    <t>Etre capable de résoudre des problémes algorithmques élémentaires pour l'interfacage et le traitement des signaux</t>
  </si>
  <si>
    <t>Algorithmes de gestion des entrées et sorties</t>
  </si>
  <si>
    <t>Algorithmie des éléments d’analyse numérique</t>
  </si>
  <si>
    <t>Algorithmie, analyse numérique, interfaçage des signaux</t>
  </si>
  <si>
    <t>Etre capable de concevoir et analyser des systèmes à base de microcontrôleurs</t>
  </si>
  <si>
    <t>Etre capable d'observer, d'identifier et d'expérimenter des systèmes à base de microcontrôleurs</t>
  </si>
  <si>
    <t>Etre capable de maîtriser les outils de compilation croisée</t>
  </si>
  <si>
    <t>Architecture de microcontrôleur, compilation croisée, déboggage distant</t>
  </si>
  <si>
    <t>Etre capable de développer des logiciels de bas niveau pour systèmes embarqués</t>
  </si>
  <si>
    <t>Etre capable de développer des logiciels de haut niveau pour systèmes embarqués</t>
  </si>
  <si>
    <t>Etre capable de maîtriser les outils de développement pour systèmes embarqués</t>
  </si>
  <si>
    <t>Langage assembleur et langage C</t>
  </si>
  <si>
    <t>Gestion et mise en œuvre des interruptions matérielles</t>
  </si>
  <si>
    <t>Langage assembleur, langage de haut niveau (C/C++)</t>
  </si>
  <si>
    <t>Etre capable de structurer une application avec un programme principal et une routine d'interruption</t>
  </si>
  <si>
    <t>Etre capable de réaliser une application structurée en langage C/C++</t>
  </si>
  <si>
    <t>Langage de haut niveau (C/C++)</t>
  </si>
  <si>
    <t>Interruption matérielle, langage de haut niveau</t>
  </si>
  <si>
    <r>
      <rPr>
        <b/>
        <strike/>
        <sz val="11"/>
        <color rgb="FFFF0000"/>
        <rFont val="Calibri"/>
        <family val="2"/>
        <scheme val="minor"/>
      </rPr>
      <t>1</t>
    </r>
    <r>
      <rPr>
        <b/>
        <sz val="11"/>
        <color rgb="FFFF0000"/>
        <rFont val="Calibri"/>
        <family val="2"/>
        <scheme val="minor"/>
      </rPr>
      <t xml:space="preserve"> 2</t>
    </r>
  </si>
  <si>
    <t>Analyse et/ou synthèse de quelques applications, exemple de gestion de périphériques externes (écran LCD, ...).</t>
  </si>
  <si>
    <t>Systèmes embarqués communicants : micro-contrôleurs spécifiques, bus et protocoles.</t>
  </si>
  <si>
    <t>4 Paradigmes orientés objet : encapsulation, héritage, polymorphisme, généricité</t>
  </si>
  <si>
    <t xml:space="preserve">Langage C/C++, UML, routine d'interruption, </t>
  </si>
  <si>
    <t>Principes fondamentaux des accès mémoires (pile, page et segment)</t>
  </si>
  <si>
    <t>prop. TG 22/07/2016</t>
  </si>
  <si>
    <t>Langage C/C++, interruption, programmation des processeurs</t>
  </si>
  <si>
    <t>Structure et mécanismes des routines d'interruption et des échanges d'information</t>
  </si>
  <si>
    <t>à remplacer par :</t>
  </si>
  <si>
    <t>Langage C/C++, UML, routine d'interruption, programmation des processeurs</t>
  </si>
  <si>
    <t>Etre capable de mettre en œuvre des principes et stratégies d'ordonnancement</t>
  </si>
  <si>
    <t>Etre capable de mettre en œuvre des principes et stratégies de gestion des tâches</t>
  </si>
  <si>
    <t>Base des systèmes multi-tâches (POSIX) et multi utilisateurs (UNIX)</t>
  </si>
  <si>
    <t>Echange de données entre tâches (PIPE),Gestion des signaux, Gestion des ressources (verrous et sémaphores)</t>
  </si>
  <si>
    <t>Principes d'ordonnancement</t>
  </si>
  <si>
    <t>multi-tâches, multi-utilisateurs, Processus pére et fils, synchronisation de tâches</t>
  </si>
  <si>
    <t>Etre capable de réaliser un ordonnancement de tâches</t>
  </si>
  <si>
    <t>Etre capable de mettre en œuvre des logiciels temps réel</t>
  </si>
  <si>
    <t>Bases et stratégies des systèmes temps-réel</t>
  </si>
  <si>
    <t>Ordonnancement statique et dynamique</t>
  </si>
  <si>
    <t>Stratégies des serveurs de tâches apériodiques</t>
  </si>
  <si>
    <t>Temps-réel, Ordonnancement, serveur de tâches</t>
  </si>
  <si>
    <t>multi-tâches, multi-utilisateurs, Processus père et fils, synchronisation de tâches</t>
  </si>
  <si>
    <t>COMPETENCES SPECIFIQUES A LA SPECIALITE</t>
  </si>
  <si>
    <t>Résoudre un problème linéaire, analyser la sensibilité de la solution optimale aux variations des conditions</t>
  </si>
  <si>
    <t>Analyser le régime permanent d’une file d’attente classique (lois exponentielles)</t>
  </si>
  <si>
    <t>Déterminez une solution optimale dans un graphe ou une matrice (chemin, flôt affectation, tournée)</t>
  </si>
  <si>
    <t>Algorithmes classiques en théorie des graphes (P), méthodes de séparation-évaluation</t>
  </si>
  <si>
    <t>Programmation linéaire, dualité, post-optimisation</t>
  </si>
  <si>
    <t>Chaînes de Markov et files d’attente</t>
  </si>
  <si>
    <t>Algorithme du simplexe, dual, chaîne de markov, MM1, MM2, Mmnn, chemin, flot, affectation, voyageur de commerce</t>
  </si>
  <si>
    <t>Modéliser un problème concret par un programme linéaire</t>
  </si>
  <si>
    <t>Modéliser un problème concret en termes de graphes (aléatoires ou pas)</t>
  </si>
  <si>
    <t>Mesurer la complexité d’un algorithme de résolution</t>
  </si>
  <si>
    <t xml:space="preserve">Théorie de la complexité (rudiments) </t>
  </si>
  <si>
    <t>Modélisation, complexité, algorithme</t>
  </si>
  <si>
    <t>Calculer le débit maximal d’un réseau de communication, optimiser une stratégie de transmission</t>
  </si>
  <si>
    <t>Utiliser des algorithmes de graphes en traitement d’images</t>
  </si>
  <si>
    <t>Problème de flots et application au traitement des signaux</t>
  </si>
  <si>
    <t>Modélisation de file d’attente et de réseau de file d’attente simples, application aux problème de communication</t>
  </si>
  <si>
    <t>Chaîne de Markov, File d’attente, Problème de flots avec coûts</t>
  </si>
  <si>
    <t>Déterminer le régime permanent d’un système markovien discret ou continu</t>
  </si>
  <si>
    <t>Calculer des temps moyens de passage d’un état à un autre, des temps et des probabilités d’absorption</t>
  </si>
  <si>
    <t>Optimiser un système d’attente non déterministe</t>
  </si>
  <si>
    <t>Temps et probabilités d’absorption</t>
  </si>
  <si>
    <t>Chaîne de Markov, File d’attente,  Temps avant absorption</t>
  </si>
  <si>
    <t>Discerner des modélisations en terme de chemins ou de flôts dans un problème d’ordonnancement ou de planning</t>
  </si>
  <si>
    <t>Savoir modéliser un problème d’ordonnancement présentant des caractéristiques linéaires</t>
  </si>
  <si>
    <t>Différencier les problèmes d’ordonnancement P et NP-complets</t>
  </si>
  <si>
    <t>Graphes MPM et PERT, problèmes de ressources</t>
  </si>
  <si>
    <t>MPM, PERT, Gantt, complexité, branch and bound, programmation linéaire, algorithmie de graphes</t>
  </si>
  <si>
    <t>Chaîne de Markov, File d’attente, Problème de flots avec coûts, Temps avant absorption</t>
  </si>
  <si>
    <t>Savoir valider ou infirmer une hypothèse</t>
  </si>
  <si>
    <t xml:space="preserve">Estimer un paramètre par sa valeur ou par sa dispersion </t>
  </si>
  <si>
    <t>Comprendre l’apport d’un modèle à des données empiriques</t>
  </si>
  <si>
    <t>Tests d’hypothèses</t>
  </si>
  <si>
    <t>Calcul d’estimateurs, de biais et d’intervalles de confiance</t>
  </si>
  <si>
    <t>Tests d’hypothèses et risques associés, Estimations et estimateurs, Statistiques d’ensemble et d’ordre</t>
  </si>
  <si>
    <t>Concevoir et mettre en place un plan d’échantillonnage</t>
  </si>
  <si>
    <t>Calculer et réduire le coût d’un plan d’échantillonnage</t>
  </si>
  <si>
    <t>Théorie de l’échantillonnage</t>
  </si>
  <si>
    <t>Plans d’échantillonnage simple, double, multiple</t>
  </si>
  <si>
    <t>Statistiques exhaustives, quantité d’information</t>
  </si>
  <si>
    <t>Plans d’échantillonnage</t>
  </si>
  <si>
    <t>Modéliser une situation non déterministe</t>
  </si>
  <si>
    <t>Valider un modèle aléatoire</t>
  </si>
  <si>
    <t>Situer un paramètre dans un intervalle ou estimer une valeur</t>
  </si>
  <si>
    <t>Probabilités, probabilités conditionnelles, point de vue bayésien</t>
  </si>
  <si>
    <t>Distributions aléatoires et tests d’ajustement</t>
  </si>
  <si>
    <t>Estimation ponctuelle et par intervalle (max de vraisemblance, bayésien)</t>
  </si>
  <si>
    <t>Tests de Kolmogorov, Shapiro-Wilk, du chi-deux, Intervalle de confiance, Bootstrap</t>
  </si>
  <si>
    <t>Calculer une prévision de puissance annuelle pour une éolienne</t>
  </si>
  <si>
    <t>Calculer la hauteur d’une crue</t>
  </si>
  <si>
    <t>Savoir estimer la taille d’une population</t>
  </si>
  <si>
    <t>Lois des extrêmes, statistiques d’ordre</t>
  </si>
  <si>
    <t>Lois usuelles, Théorème de la Limite Centrée, Loi de Gumbel, de Frechet, de Weibull, Bootstrap, Maximum de vraisemblance, MAP</t>
  </si>
  <si>
    <t>Déterminer différents estimateurs, calculer leurs caractéristiques</t>
  </si>
  <si>
    <t>Calculer une entropie</t>
  </si>
  <si>
    <t>Calculer des probabilités d’erreur dans des canaux de transmission</t>
  </si>
  <si>
    <t>Théorie de l’information (rudiments)</t>
  </si>
  <si>
    <t>Quantité d’information, probabilité conditionnelle, probabilité bayésienne</t>
  </si>
  <si>
    <t>Ancienne version</t>
  </si>
  <si>
    <t>Nouvelle version</t>
  </si>
  <si>
    <t xml:space="preserve">Analyser un système (ou un problème) réel ou virtuel </t>
  </si>
  <si>
    <t>Exploiter un modèle d'un système réel ou virtuel</t>
  </si>
  <si>
    <t>Mettre en oeuvre une démarche expérimentale</t>
  </si>
  <si>
    <t>Concevoir un système répondant à un cahier des charges</t>
  </si>
  <si>
    <t xml:space="preserve">Traiter des données </t>
  </si>
  <si>
    <t>Communiquer une analyse ou une démarche scientifique</t>
  </si>
  <si>
    <r>
      <rPr>
        <b/>
        <sz val="9"/>
        <color theme="1"/>
        <rFont val="Calibri"/>
        <family val="2"/>
        <scheme val="minor"/>
      </rPr>
      <t>Niveau 1</t>
    </r>
    <r>
      <rPr>
        <sz val="9"/>
        <color theme="1"/>
        <rFont val="Calibri"/>
        <family val="2"/>
        <scheme val="minor"/>
      </rPr>
      <t xml:space="preserve"> : connaissances et savoir-faire fondamentaux : à l’issue de l’apprentissage, l’étudiant doit être capable d’expliquer les notions de références et d’exécuter les tâches élémentaires en lien avec la compétence ciblée dans le contexte du département.
</t>
    </r>
    <r>
      <rPr>
        <i/>
        <sz val="9"/>
        <color theme="1"/>
        <rFont val="Calibri"/>
        <family val="2"/>
        <scheme val="minor"/>
      </rPr>
      <t>Evaluations typiques : questions à réponses courtes, questions à choix multiples ou exercices d’application guidés</t>
    </r>
    <r>
      <rPr>
        <sz val="9"/>
        <color theme="1"/>
        <rFont val="Calibri"/>
        <family val="2"/>
        <scheme val="minor"/>
      </rPr>
      <t xml:space="preserve">
</t>
    </r>
    <r>
      <rPr>
        <b/>
        <sz val="9"/>
        <color theme="1"/>
        <rFont val="Calibri"/>
        <family val="2"/>
        <scheme val="minor"/>
      </rPr>
      <t>Niveau 2</t>
    </r>
    <r>
      <rPr>
        <sz val="9"/>
        <color theme="1"/>
        <rFont val="Calibri"/>
        <family val="2"/>
        <scheme val="minor"/>
      </rPr>
      <t xml:space="preserve"> : capacités élaborées : à l’issue de l’apprentissage, l’étudiant doit être capable de mettre en oeuvre avec discernement des méthodologies complexes en réponses à des situations problèmes simples, typiques du métier poursuivi.
</t>
    </r>
    <r>
      <rPr>
        <i/>
        <sz val="9"/>
        <color theme="1"/>
        <rFont val="Calibri"/>
        <family val="2"/>
        <scheme val="minor"/>
      </rPr>
      <t>Evaluations typiques : questions à développement, problèmes ouverts (non guidés)</t>
    </r>
    <r>
      <rPr>
        <sz val="9"/>
        <color theme="1"/>
        <rFont val="Calibri"/>
        <family val="2"/>
        <scheme val="minor"/>
      </rPr>
      <t xml:space="preserve">
</t>
    </r>
    <r>
      <rPr>
        <b/>
        <sz val="9"/>
        <color theme="1"/>
        <rFont val="Calibri"/>
        <family val="2"/>
        <scheme val="minor"/>
      </rPr>
      <t>Niveau 3</t>
    </r>
    <r>
      <rPr>
        <sz val="9"/>
        <color theme="1"/>
        <rFont val="Calibri"/>
        <family val="2"/>
        <scheme val="minor"/>
      </rPr>
      <t xml:space="preserve"> : compétences à l'oeuvre : à l’issue de l’apprentissage, l’étudiant, confronté à une situation problème authentique typique du métier poursuivi, doit pouvoir élaborer et mettre en oeuvre une stratégie pour apporter une réponse adaptée, justifiée et nuancée par l’analyse de ses avantages et inconvénients.</t>
    </r>
  </si>
  <si>
    <t>SHES</t>
  </si>
  <si>
    <t>Option SHES</t>
  </si>
  <si>
    <t>Option CEE</t>
  </si>
  <si>
    <t>Option REEL</t>
  </si>
  <si>
    <t>DEPARTEMENT GE - MATRICE DE COMPETENCES  Ecole / UE</t>
  </si>
  <si>
    <t>Câblage d'un moteur, mesures de grandeurs électriques en mono et triphasé, caractérisation d'un circuit magnétique et d'une inductance</t>
  </si>
  <si>
    <t xml:space="preserve">Approche système, amplificateurs différentiels idéaux et réels, comparateurs, astables et monostables, </t>
  </si>
  <si>
    <t>oscillateurs, amplifications, filtres actifs, amplificateurs différentiels, analyse de datasheet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</si>
</sst>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quot;€&quot;;[Red]\-#,##0.00\ &quot;€&quot;"/>
  </numFmts>
  <fonts count="88">
    <font>
      <sz val="11"/>
      <color theme="1"/>
      <name val="Calibri"/>
      <family val="2"/>
      <scheme val="minor"/>
    </font>
    <font>
      <sz val="12"/>
      <color theme="1"/>
      <name val="Calibri"/>
      <family val="2"/>
      <scheme val="minor"/>
    </font>
    <font>
      <sz val="11"/>
      <color theme="1"/>
      <name val="Symbol"/>
      <family val="1"/>
      <charset val="2"/>
    </font>
    <font>
      <sz val="7"/>
      <color theme="1"/>
      <name val="Times New Roman"/>
      <family val="1"/>
    </font>
    <font>
      <sz val="11"/>
      <name val="Calibri"/>
      <family val="2"/>
      <scheme val="minor"/>
    </font>
    <font>
      <sz val="11"/>
      <color theme="3" tint="-0.249977111117893"/>
      <name val="Calibri"/>
      <family val="2"/>
      <scheme val="minor"/>
    </font>
    <font>
      <sz val="11"/>
      <color theme="3"/>
      <name val="Calibri"/>
      <family val="2"/>
      <scheme val="minor"/>
    </font>
    <font>
      <b/>
      <sz val="11"/>
      <color theme="3" tint="0.39997558519241921"/>
      <name val="Calibri"/>
      <family val="2"/>
      <scheme val="minor"/>
    </font>
    <font>
      <b/>
      <sz val="11"/>
      <color theme="9" tint="-0.249977111117893"/>
      <name val="Calibri"/>
      <family val="2"/>
      <scheme val="minor"/>
    </font>
    <font>
      <sz val="11"/>
      <color theme="9" tint="-0.249977111117893"/>
      <name val="Calibri"/>
      <family val="2"/>
      <scheme val="minor"/>
    </font>
    <font>
      <sz val="11"/>
      <color theme="3"/>
      <name val="Symbol"/>
      <family val="1"/>
      <charset val="2"/>
    </font>
    <font>
      <sz val="7"/>
      <color theme="3"/>
      <name val="Times New Roman"/>
      <family val="1"/>
    </font>
    <font>
      <sz val="11"/>
      <color rgb="FF00000A"/>
      <name val="Calibri"/>
      <family val="2"/>
      <scheme val="minor"/>
    </font>
    <font>
      <sz val="14"/>
      <color rgb="FF000000"/>
      <name val="Arial"/>
      <family val="2"/>
    </font>
    <font>
      <sz val="8"/>
      <color theme="9" tint="-0.249977111117893"/>
      <name val="Calibri"/>
      <family val="2"/>
      <scheme val="minor"/>
    </font>
    <font>
      <sz val="12"/>
      <color theme="1"/>
      <name val="Calibri"/>
      <family val="2"/>
      <scheme val="minor"/>
    </font>
    <font>
      <b/>
      <sz val="12"/>
      <color theme="1"/>
      <name val="Calibri"/>
      <family val="2"/>
      <scheme val="minor"/>
    </font>
    <font>
      <sz val="10"/>
      <color theme="9" tint="-0.249977111117893"/>
      <name val="Calibri"/>
      <family val="2"/>
      <scheme val="minor"/>
    </font>
    <font>
      <sz val="11"/>
      <color theme="3" tint="0.39997558519241921"/>
      <name val="Calibri"/>
      <family val="2"/>
      <scheme val="minor"/>
    </font>
    <font>
      <b/>
      <sz val="11"/>
      <color rgb="FFFF0000"/>
      <name val="Calibri"/>
      <family val="2"/>
      <scheme val="minor"/>
    </font>
    <font>
      <b/>
      <sz val="11"/>
      <color theme="4"/>
      <name val="Calibri"/>
      <family val="2"/>
      <scheme val="minor"/>
    </font>
    <font>
      <b/>
      <sz val="18"/>
      <color theme="1"/>
      <name val="Calibri"/>
      <family val="2"/>
      <scheme val="minor"/>
    </font>
    <font>
      <b/>
      <sz val="11"/>
      <color theme="1"/>
      <name val="Calibri"/>
      <family val="2"/>
      <scheme val="minor"/>
    </font>
    <font>
      <sz val="10"/>
      <color theme="1"/>
      <name val="Calibri"/>
      <family val="2"/>
      <scheme val="minor"/>
    </font>
    <font>
      <sz val="9"/>
      <color rgb="FF000000"/>
      <name val="Calibri"/>
      <family val="2"/>
    </font>
    <font>
      <sz val="9"/>
      <color theme="1"/>
      <name val="Calibri"/>
      <family val="2"/>
      <scheme val="minor"/>
    </font>
    <font>
      <b/>
      <sz val="9"/>
      <color rgb="FF000000"/>
      <name val="Calibri"/>
      <family val="2"/>
    </font>
    <font>
      <b/>
      <sz val="10"/>
      <color theme="1"/>
      <name val="Calibri"/>
      <family val="2"/>
      <scheme val="minor"/>
    </font>
    <font>
      <sz val="11"/>
      <color rgb="FF000000"/>
      <name val="Calibri"/>
      <family val="2"/>
    </font>
    <font>
      <i/>
      <sz val="11"/>
      <color theme="1"/>
      <name val="Calibri"/>
      <family val="2"/>
      <scheme val="minor"/>
    </font>
    <font>
      <b/>
      <sz val="14"/>
      <color theme="0"/>
      <name val="Calibri"/>
      <family val="2"/>
      <scheme val="minor"/>
    </font>
    <font>
      <sz val="10"/>
      <color rgb="FF000000"/>
      <name val="Calibri"/>
      <family val="2"/>
      <scheme val="minor"/>
    </font>
    <font>
      <b/>
      <sz val="11"/>
      <color theme="3"/>
      <name val="Calibri"/>
      <family val="2"/>
      <scheme val="minor"/>
    </font>
    <font>
      <b/>
      <sz val="11"/>
      <color theme="0"/>
      <name val="Calibri"/>
      <family val="2"/>
      <scheme val="minor"/>
    </font>
    <font>
      <sz val="11"/>
      <color theme="0"/>
      <name val="Calibri"/>
      <family val="2"/>
      <scheme val="minor"/>
    </font>
    <font>
      <sz val="11"/>
      <color rgb="FF000000"/>
      <name val="Calibri"/>
      <family val="2"/>
      <scheme val="minor"/>
    </font>
    <font>
      <sz val="14"/>
      <color theme="9"/>
      <name val="Calibri"/>
      <family val="2"/>
      <scheme val="minor"/>
    </font>
    <font>
      <b/>
      <sz val="9"/>
      <color indexed="81"/>
      <name val="Tahoma"/>
      <family val="2"/>
    </font>
    <font>
      <b/>
      <i/>
      <sz val="16"/>
      <color rgb="FF4F4D50"/>
      <name val="Calibri"/>
      <family val="2"/>
      <scheme val="minor"/>
    </font>
    <font>
      <i/>
      <sz val="16"/>
      <color rgb="FF4F4D50"/>
      <name val="Calibri"/>
      <family val="2"/>
      <scheme val="minor"/>
    </font>
    <font>
      <sz val="16"/>
      <color theme="1"/>
      <name val="Calibri"/>
      <family val="2"/>
      <scheme val="minor"/>
    </font>
    <font>
      <sz val="11"/>
      <color rgb="FF4F4D50"/>
      <name val="Calibri"/>
      <family val="2"/>
      <scheme val="minor"/>
    </font>
    <font>
      <sz val="12"/>
      <color rgb="FF4F4D50"/>
      <name val="Calibri"/>
      <family val="2"/>
      <scheme val="minor"/>
    </font>
    <font>
      <b/>
      <sz val="14"/>
      <color rgb="FF004D6F"/>
      <name val="Calibri"/>
      <family val="2"/>
      <scheme val="minor"/>
    </font>
    <font>
      <b/>
      <sz val="14"/>
      <color theme="3"/>
      <name val="Calibri"/>
      <family val="2"/>
      <scheme val="minor"/>
    </font>
    <font>
      <sz val="11"/>
      <color rgb="FFFF0000"/>
      <name val="Calibri"/>
      <family val="2"/>
      <scheme val="minor"/>
    </font>
    <font>
      <sz val="11"/>
      <color theme="1"/>
      <name val="Times New Roman"/>
      <family val="1"/>
    </font>
    <font>
      <b/>
      <strike/>
      <sz val="11"/>
      <color rgb="FFFF0000"/>
      <name val="Calibri"/>
      <family val="2"/>
      <scheme val="minor"/>
    </font>
    <font>
      <b/>
      <sz val="12"/>
      <color rgb="FFFF0000"/>
      <name val="Calibri"/>
      <family val="2"/>
      <scheme val="minor"/>
    </font>
    <font>
      <b/>
      <sz val="11"/>
      <name val="Calibri"/>
      <family val="2"/>
      <scheme val="minor"/>
    </font>
    <font>
      <b/>
      <sz val="12"/>
      <color theme="0"/>
      <name val="Calibri"/>
      <family val="2"/>
      <scheme val="minor"/>
    </font>
    <font>
      <b/>
      <i/>
      <sz val="12"/>
      <color theme="1"/>
      <name val="Calibri"/>
      <family val="2"/>
      <scheme val="minor"/>
    </font>
    <font>
      <b/>
      <i/>
      <sz val="12"/>
      <name val="Calibri"/>
      <family val="2"/>
      <scheme val="minor"/>
    </font>
    <font>
      <sz val="15"/>
      <color theme="1"/>
      <name val="Arial"/>
      <family val="2"/>
    </font>
    <font>
      <b/>
      <sz val="18"/>
      <color rgb="FFFF0000"/>
      <name val="Calibri"/>
      <family val="2"/>
      <scheme val="minor"/>
    </font>
    <font>
      <b/>
      <sz val="12"/>
      <color theme="3"/>
      <name val="Calibri"/>
      <family val="2"/>
      <scheme val="minor"/>
    </font>
    <font>
      <b/>
      <sz val="12"/>
      <color theme="4"/>
      <name val="Calibri"/>
      <family val="2"/>
      <scheme val="minor"/>
    </font>
    <font>
      <b/>
      <sz val="11"/>
      <color rgb="FF000000"/>
      <name val="Calibri"/>
      <family val="2"/>
      <scheme val="minor"/>
    </font>
    <font>
      <sz val="12"/>
      <color theme="1"/>
      <name val="Times New Roman"/>
      <family val="1"/>
    </font>
    <font>
      <b/>
      <sz val="11"/>
      <color rgb="FF000000"/>
      <name val="Calibri"/>
      <family val="2"/>
    </font>
    <font>
      <strike/>
      <sz val="11"/>
      <color rgb="FFFF0000"/>
      <name val="Calibri"/>
      <family val="2"/>
      <scheme val="minor"/>
    </font>
    <font>
      <sz val="11"/>
      <color rgb="FF0070C0"/>
      <name val="Calibri"/>
      <family val="2"/>
      <scheme val="minor"/>
    </font>
    <font>
      <sz val="11"/>
      <color theme="1"/>
      <name val="Calibri"/>
      <family val="2"/>
    </font>
    <font>
      <b/>
      <sz val="14"/>
      <color rgb="FFFFFFFF"/>
      <name val="Calibri"/>
      <family val="2"/>
    </font>
    <font>
      <b/>
      <sz val="11"/>
      <color rgb="FFFFFFFF"/>
      <name val="Calibri"/>
      <family val="2"/>
    </font>
    <font>
      <sz val="11"/>
      <color rgb="FFFFFFFF"/>
      <name val="Calibri"/>
      <family val="2"/>
    </font>
    <font>
      <b/>
      <sz val="12"/>
      <color rgb="FF000000"/>
      <name val="Calibri"/>
      <family val="2"/>
    </font>
    <font>
      <b/>
      <sz val="11"/>
      <color rgb="FFE26B0A"/>
      <name val="Calibri"/>
      <family val="2"/>
    </font>
    <font>
      <sz val="11"/>
      <name val="Calibri"/>
      <family val="2"/>
    </font>
    <font>
      <sz val="11"/>
      <color rgb="FF000000"/>
      <name val="Symbol"/>
      <family val="1"/>
      <charset val="2"/>
    </font>
    <font>
      <b/>
      <sz val="9"/>
      <color rgb="FF000000"/>
      <name val="Tahoma"/>
      <family val="2"/>
    </font>
    <font>
      <sz val="12"/>
      <color rgb="FF000000"/>
      <name val="VerbRegular"/>
    </font>
    <font>
      <sz val="11"/>
      <color theme="4"/>
      <name val="Calibri"/>
      <family val="2"/>
      <scheme val="minor"/>
    </font>
    <font>
      <i/>
      <sz val="10"/>
      <color theme="1"/>
      <name val="Calibri"/>
      <family val="2"/>
      <scheme val="minor"/>
    </font>
    <font>
      <sz val="11"/>
      <color rgb="FF00B050"/>
      <name val="Calibri"/>
      <family val="2"/>
      <scheme val="minor"/>
    </font>
    <font>
      <b/>
      <strike/>
      <sz val="11"/>
      <color theme="4"/>
      <name val="Calibri"/>
      <family val="2"/>
      <scheme val="minor"/>
    </font>
    <font>
      <sz val="8"/>
      <color theme="4"/>
      <name val="Calibri"/>
      <family val="2"/>
      <scheme val="minor"/>
    </font>
    <font>
      <b/>
      <sz val="12"/>
      <color theme="9"/>
      <name val="Calibri"/>
      <family val="2"/>
      <scheme val="minor"/>
    </font>
    <font>
      <sz val="11"/>
      <color rgb="FF0070C0"/>
      <name val="Calibri"/>
      <family val="2"/>
      <charset val="1"/>
    </font>
    <font>
      <sz val="11"/>
      <color rgb="FF000000"/>
      <name val="Calibri"/>
      <family val="2"/>
      <charset val="1"/>
    </font>
    <font>
      <b/>
      <sz val="12"/>
      <color rgb="FF000000"/>
      <name val="Calibri"/>
      <family val="2"/>
      <charset val="1"/>
    </font>
    <font>
      <b/>
      <sz val="11"/>
      <color rgb="FFFF0000"/>
      <name val="Calibri"/>
      <family val="2"/>
      <charset val="1"/>
    </font>
    <font>
      <b/>
      <sz val="11"/>
      <color rgb="FFE46C0A"/>
      <name val="Calibri"/>
      <family val="2"/>
      <charset val="1"/>
    </font>
    <font>
      <b/>
      <sz val="11"/>
      <color rgb="FF000000"/>
      <name val="Calibri"/>
      <family val="2"/>
      <charset val="1"/>
    </font>
    <font>
      <sz val="11"/>
      <color theme="3" tint="0.39997558519241921"/>
      <name val="Calibri"/>
      <family val="2"/>
      <charset val="1"/>
    </font>
    <font>
      <b/>
      <sz val="9"/>
      <color theme="1"/>
      <name val="Calibri"/>
      <family val="2"/>
      <scheme val="minor"/>
    </font>
    <font>
      <i/>
      <sz val="9"/>
      <color theme="1"/>
      <name val="Calibri"/>
      <family val="2"/>
      <scheme val="minor"/>
    </font>
    <font>
      <b/>
      <sz val="20"/>
      <color theme="1"/>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9"/>
        <bgColor indexed="64"/>
      </patternFill>
    </fill>
    <fill>
      <patternFill patternType="solid">
        <fgColor theme="5" tint="0.39997558519241921"/>
        <bgColor indexed="64"/>
      </patternFill>
    </fill>
    <fill>
      <patternFill patternType="solid">
        <fgColor theme="7"/>
        <bgColor indexed="64"/>
      </patternFill>
    </fill>
    <fill>
      <patternFill patternType="solid">
        <fgColor theme="4" tint="0.59999389629810485"/>
        <bgColor indexed="64"/>
      </patternFill>
    </fill>
    <fill>
      <patternFill patternType="solid">
        <fgColor rgb="FFC0504D"/>
        <bgColor rgb="FF000000"/>
      </patternFill>
    </fill>
    <fill>
      <patternFill patternType="solid">
        <fgColor rgb="FF4F81BD"/>
        <bgColor rgb="FF000000"/>
      </patternFill>
    </fill>
    <fill>
      <patternFill patternType="solid">
        <fgColor rgb="FFF79646"/>
        <bgColor rgb="FF000000"/>
      </patternFill>
    </fill>
    <fill>
      <patternFill patternType="solid">
        <fgColor rgb="FFFFC000"/>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ck">
        <color theme="9"/>
      </right>
      <top/>
      <bottom/>
      <diagonal/>
    </border>
    <border>
      <left style="thick">
        <color theme="9"/>
      </left>
      <right/>
      <top/>
      <bottom/>
      <diagonal/>
    </border>
    <border>
      <left/>
      <right style="thick">
        <color theme="4"/>
      </right>
      <top/>
      <bottom/>
      <diagonal/>
    </border>
    <border>
      <left style="thick">
        <color theme="4"/>
      </left>
      <right/>
      <top/>
      <bottom/>
      <diagonal/>
    </border>
    <border>
      <left/>
      <right style="medium">
        <color theme="9"/>
      </right>
      <top/>
      <bottom/>
      <diagonal/>
    </border>
    <border>
      <left/>
      <right style="medium">
        <color theme="4"/>
      </right>
      <top/>
      <bottom/>
      <diagonal/>
    </border>
    <border>
      <left style="medium">
        <color theme="4"/>
      </left>
      <right/>
      <top/>
      <bottom/>
      <diagonal/>
    </border>
    <border>
      <left/>
      <right style="thick">
        <color rgb="FF4F81BD"/>
      </right>
      <top/>
      <bottom/>
      <diagonal/>
    </border>
    <border>
      <left style="thick">
        <color rgb="FFF79646"/>
      </left>
      <right/>
      <top/>
      <bottom/>
      <diagonal/>
    </border>
    <border>
      <left/>
      <right style="thick">
        <color rgb="FFF79646"/>
      </right>
      <top/>
      <bottom/>
      <diagonal/>
    </border>
    <border>
      <left style="medium">
        <color indexed="64"/>
      </left>
      <right style="thick">
        <color theme="4"/>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79" fillId="0" borderId="0"/>
  </cellStyleXfs>
  <cellXfs count="1134">
    <xf numFmtId="0" fontId="0" fillId="0" borderId="0" xfId="0"/>
    <xf numFmtId="0" fontId="0" fillId="0" borderId="0" xfId="0" applyFont="1"/>
    <xf numFmtId="0" fontId="0" fillId="0" borderId="0" xfId="0" applyFont="1" applyAlignment="1">
      <alignment horizontal="center"/>
    </xf>
    <xf numFmtId="0" fontId="0" fillId="0" borderId="1" xfId="0" applyFont="1" applyBorder="1" applyAlignment="1">
      <alignment horizontal="center"/>
    </xf>
    <xf numFmtId="0" fontId="0" fillId="0" borderId="0" xfId="0" applyFont="1" applyAlignment="1">
      <alignment horizontal="right"/>
    </xf>
    <xf numFmtId="0" fontId="0" fillId="0" borderId="0" xfId="0" applyFont="1" applyBorder="1"/>
    <xf numFmtId="0" fontId="9" fillId="0" borderId="7" xfId="0" applyFont="1" applyBorder="1" applyAlignment="1">
      <alignment horizontal="justify" vertical="center" textRotation="90"/>
    </xf>
    <xf numFmtId="0" fontId="9" fillId="0" borderId="8" xfId="0" applyFont="1" applyBorder="1" applyAlignment="1">
      <alignment horizontal="justify" vertical="center" textRotation="90"/>
    </xf>
    <xf numFmtId="0" fontId="9" fillId="0" borderId="9" xfId="0" applyFont="1" applyBorder="1" applyAlignment="1">
      <alignment horizontal="justify" vertical="center" textRotation="90"/>
    </xf>
    <xf numFmtId="0" fontId="2" fillId="0" borderId="8" xfId="0" applyFont="1" applyBorder="1" applyAlignment="1">
      <alignment horizontal="center" vertical="center" textRotation="90" wrapText="1"/>
    </xf>
    <xf numFmtId="0" fontId="0" fillId="0" borderId="3" xfId="0" applyFont="1" applyBorder="1"/>
    <xf numFmtId="0" fontId="0" fillId="0" borderId="4" xfId="0" applyFont="1" applyBorder="1" applyAlignment="1">
      <alignment horizontal="center"/>
    </xf>
    <xf numFmtId="0" fontId="0" fillId="0" borderId="14" xfId="0" applyFont="1" applyBorder="1" applyAlignment="1">
      <alignment horizontal="left" vertical="center"/>
    </xf>
    <xf numFmtId="0" fontId="0" fillId="0" borderId="14" xfId="0" applyFont="1" applyBorder="1"/>
    <xf numFmtId="0" fontId="0" fillId="0" borderId="16" xfId="0" applyFont="1" applyBorder="1"/>
    <xf numFmtId="0" fontId="0" fillId="0" borderId="17" xfId="0" applyFont="1" applyBorder="1" applyAlignment="1">
      <alignment horizontal="center"/>
    </xf>
    <xf numFmtId="0" fontId="0" fillId="0" borderId="3" xfId="0" applyFont="1" applyBorder="1" applyAlignment="1">
      <alignment horizontal="left" vertical="center"/>
    </xf>
    <xf numFmtId="0" fontId="0" fillId="0" borderId="0" xfId="0" applyFont="1" applyAlignment="1">
      <alignment horizontal="left"/>
    </xf>
    <xf numFmtId="0" fontId="0" fillId="0" borderId="22" xfId="0" applyFont="1" applyBorder="1" applyAlignment="1">
      <alignment horizontal="left"/>
    </xf>
    <xf numFmtId="0" fontId="0" fillId="0" borderId="23" xfId="0" applyFont="1" applyBorder="1" applyAlignment="1">
      <alignment horizontal="left"/>
    </xf>
    <xf numFmtId="0" fontId="0" fillId="0" borderId="24" xfId="0" applyFont="1" applyBorder="1" applyAlignment="1">
      <alignment horizontal="left"/>
    </xf>
    <xf numFmtId="0" fontId="0" fillId="0" borderId="22" xfId="0" applyFont="1" applyBorder="1"/>
    <xf numFmtId="0" fontId="0" fillId="0" borderId="0" xfId="0" applyFont="1" applyFill="1" applyAlignment="1">
      <alignment horizontal="center"/>
    </xf>
    <xf numFmtId="0" fontId="0" fillId="0" borderId="4" xfId="0" applyFont="1" applyFill="1" applyBorder="1" applyAlignment="1">
      <alignment horizontal="center"/>
    </xf>
    <xf numFmtId="0" fontId="0" fillId="0" borderId="1" xfId="0" applyFont="1" applyFill="1" applyBorder="1" applyAlignment="1">
      <alignment horizontal="center"/>
    </xf>
    <xf numFmtId="0" fontId="0" fillId="0" borderId="17" xfId="0" applyFont="1" applyFill="1" applyBorder="1" applyAlignment="1">
      <alignment horizontal="center"/>
    </xf>
    <xf numFmtId="0" fontId="0" fillId="0" borderId="7" xfId="0" applyFont="1" applyBorder="1" applyAlignment="1">
      <alignment horizontal="center" vertical="center" textRotation="90" wrapText="1"/>
    </xf>
    <xf numFmtId="0" fontId="0" fillId="0" borderId="8" xfId="0" applyFont="1" applyBorder="1" applyAlignment="1">
      <alignment horizontal="center" vertical="center" textRotation="90" wrapText="1"/>
    </xf>
    <xf numFmtId="0" fontId="0" fillId="0" borderId="9" xfId="0" applyFont="1" applyBorder="1" applyAlignment="1">
      <alignment horizontal="center" vertical="center" textRotation="90" wrapText="1"/>
    </xf>
    <xf numFmtId="0" fontId="0" fillId="0" borderId="0" xfId="0" applyFont="1" applyAlignment="1">
      <alignment horizontal="center" vertical="center"/>
    </xf>
    <xf numFmtId="0" fontId="0" fillId="0" borderId="5" xfId="0" applyFont="1" applyBorder="1" applyAlignment="1">
      <alignment horizontal="center" vertical="center"/>
    </xf>
    <xf numFmtId="0" fontId="0" fillId="0" borderId="15" xfId="0" applyFont="1" applyBorder="1" applyAlignment="1">
      <alignment horizontal="center" vertical="center"/>
    </xf>
    <xf numFmtId="0" fontId="0" fillId="0" borderId="18" xfId="0" applyFont="1" applyBorder="1" applyAlignment="1">
      <alignment horizontal="center" vertical="center"/>
    </xf>
    <xf numFmtId="0" fontId="0" fillId="0" borderId="20" xfId="0" applyFont="1" applyBorder="1" applyAlignment="1">
      <alignment horizontal="center" vertical="center"/>
    </xf>
    <xf numFmtId="0" fontId="0" fillId="0" borderId="6" xfId="0" applyFont="1" applyBorder="1" applyAlignment="1">
      <alignment horizontal="center" vertical="center"/>
    </xf>
    <xf numFmtId="0" fontId="0" fillId="0" borderId="21" xfId="0" applyFont="1" applyBorder="1" applyAlignment="1">
      <alignment horizontal="center" vertical="center"/>
    </xf>
    <xf numFmtId="0" fontId="7" fillId="0" borderId="0" xfId="0" applyFont="1" applyBorder="1" applyAlignment="1">
      <alignment horizontal="center" vertical="center"/>
    </xf>
    <xf numFmtId="0" fontId="7" fillId="0" borderId="14"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7" fillId="0" borderId="0" xfId="0" applyFont="1" applyAlignment="1">
      <alignment horizontal="center" vertic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7" fillId="0" borderId="16" xfId="0" applyFont="1" applyBorder="1" applyAlignment="1">
      <alignment horizontal="center" vertical="center"/>
    </xf>
    <xf numFmtId="0" fontId="0" fillId="0" borderId="3" xfId="0" applyFont="1" applyBorder="1" applyAlignment="1">
      <alignment horizontal="left"/>
    </xf>
    <xf numFmtId="0" fontId="0" fillId="0" borderId="16" xfId="0" applyFont="1" applyBorder="1" applyAlignment="1">
      <alignment horizontal="left"/>
    </xf>
    <xf numFmtId="0" fontId="10" fillId="0" borderId="8" xfId="0" applyFont="1" applyBorder="1" applyAlignment="1">
      <alignment horizontal="center" vertical="center" textRotation="90" wrapText="1"/>
    </xf>
    <xf numFmtId="0" fontId="6" fillId="0" borderId="7" xfId="0" applyFont="1" applyBorder="1" applyAlignment="1">
      <alignment horizontal="center" vertical="center" textRotation="90"/>
    </xf>
    <xf numFmtId="0" fontId="6" fillId="0" borderId="8" xfId="0" applyFont="1" applyBorder="1" applyAlignment="1">
      <alignment horizontal="center" vertical="center" textRotation="90"/>
    </xf>
    <xf numFmtId="0" fontId="0" fillId="0" borderId="0" xfId="0" applyFont="1" applyAlignment="1">
      <alignment wrapText="1"/>
    </xf>
    <xf numFmtId="0" fontId="5" fillId="0" borderId="9" xfId="0" applyFont="1" applyBorder="1" applyAlignment="1">
      <alignment horizontal="center" vertical="center" textRotation="90" wrapText="1"/>
    </xf>
    <xf numFmtId="0" fontId="7" fillId="0" borderId="5"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8" xfId="0" applyFont="1" applyBorder="1" applyAlignment="1">
      <alignment horizontal="center" vertical="center" wrapText="1"/>
    </xf>
    <xf numFmtId="0" fontId="7" fillId="0" borderId="0" xfId="0" applyFont="1" applyAlignment="1">
      <alignment horizontal="center" vertical="center" wrapText="1"/>
    </xf>
    <xf numFmtId="0" fontId="7" fillId="0" borderId="4" xfId="0" applyFont="1" applyBorder="1" applyAlignment="1">
      <alignment horizontal="center" vertical="center"/>
    </xf>
    <xf numFmtId="0" fontId="7" fillId="0" borderId="5" xfId="0" applyFont="1" applyBorder="1" applyAlignment="1">
      <alignment horizontal="center" vertical="center" wrapText="1"/>
    </xf>
    <xf numFmtId="0" fontId="0" fillId="0" borderId="7" xfId="0" applyBorder="1" applyAlignment="1">
      <alignment vertical="center" textRotation="90" wrapText="1"/>
    </xf>
    <xf numFmtId="0" fontId="0" fillId="0" borderId="8" xfId="0" applyBorder="1" applyAlignment="1">
      <alignment vertical="center" textRotation="90"/>
    </xf>
    <xf numFmtId="0" fontId="0" fillId="0" borderId="12" xfId="0" applyFont="1" applyBorder="1" applyAlignment="1">
      <alignment horizontal="center" vertical="center"/>
    </xf>
    <xf numFmtId="0" fontId="0" fillId="0" borderId="1" xfId="0" applyFont="1" applyBorder="1"/>
    <xf numFmtId="0" fontId="0" fillId="0" borderId="3" xfId="0" applyBorder="1"/>
    <xf numFmtId="0" fontId="0" fillId="0" borderId="4" xfId="0" applyFont="1" applyBorder="1"/>
    <xf numFmtId="0" fontId="0" fillId="0" borderId="5" xfId="0" applyFont="1" applyBorder="1"/>
    <xf numFmtId="0" fontId="0" fillId="0" borderId="15" xfId="0" applyFont="1" applyBorder="1"/>
    <xf numFmtId="0" fontId="0" fillId="0" borderId="17" xfId="0" applyFont="1" applyBorder="1"/>
    <xf numFmtId="0" fontId="0" fillId="0" borderId="18" xfId="0" applyFont="1" applyBorder="1"/>
    <xf numFmtId="0" fontId="0" fillId="0" borderId="7" xfId="0" applyFont="1" applyBorder="1"/>
    <xf numFmtId="0" fontId="0" fillId="0" borderId="8" xfId="0" applyFont="1" applyFill="1" applyBorder="1" applyAlignment="1">
      <alignment horizontal="center"/>
    </xf>
    <xf numFmtId="0" fontId="0" fillId="0" borderId="8" xfId="0" applyFont="1" applyBorder="1" applyAlignment="1">
      <alignment horizontal="center"/>
    </xf>
    <xf numFmtId="0" fontId="0" fillId="0" borderId="9" xfId="0" applyFont="1" applyBorder="1" applyAlignment="1">
      <alignment horizontal="center" vertical="center"/>
    </xf>
    <xf numFmtId="0" fontId="0" fillId="0" borderId="8" xfId="0" applyFont="1" applyBorder="1"/>
    <xf numFmtId="0" fontId="0" fillId="0" borderId="9" xfId="0" applyFont="1" applyBorder="1"/>
    <xf numFmtId="0" fontId="13" fillId="0" borderId="0" xfId="0" applyFont="1"/>
    <xf numFmtId="0" fontId="14" fillId="0" borderId="0" xfId="0" applyFont="1"/>
    <xf numFmtId="0" fontId="14" fillId="0" borderId="7"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wrapText="1"/>
    </xf>
    <xf numFmtId="0" fontId="14" fillId="0" borderId="0" xfId="0" applyFont="1" applyBorder="1" applyAlignment="1">
      <alignment horizontal="center" vertical="center"/>
    </xf>
    <xf numFmtId="0" fontId="14" fillId="0" borderId="9" xfId="0" applyFont="1" applyBorder="1" applyAlignment="1">
      <alignment horizontal="center" vertical="center"/>
    </xf>
    <xf numFmtId="0" fontId="14" fillId="0" borderId="0" xfId="0" applyFont="1" applyAlignment="1">
      <alignment horizontal="center" vertical="center"/>
    </xf>
    <xf numFmtId="0" fontId="14" fillId="0" borderId="8" xfId="0" applyFont="1" applyFill="1" applyBorder="1" applyAlignment="1">
      <alignment horizontal="center" vertical="center"/>
    </xf>
    <xf numFmtId="0" fontId="0" fillId="0" borderId="15" xfId="0" applyFont="1" applyFill="1" applyBorder="1" applyAlignment="1">
      <alignment horizontal="center" vertical="center"/>
    </xf>
    <xf numFmtId="0" fontId="0" fillId="0" borderId="9" xfId="0" applyFont="1" applyBorder="1" applyAlignment="1">
      <alignment wrapText="1"/>
    </xf>
    <xf numFmtId="0" fontId="15" fillId="0" borderId="0" xfId="0" applyFont="1" applyAlignment="1">
      <alignment horizontal="left" wrapText="1" indent="4"/>
    </xf>
    <xf numFmtId="0" fontId="17" fillId="0" borderId="0" xfId="0" applyFont="1" applyBorder="1" applyAlignment="1">
      <alignment vertical="center"/>
    </xf>
    <xf numFmtId="0" fontId="7" fillId="0" borderId="36" xfId="0" applyFont="1" applyBorder="1" applyAlignment="1">
      <alignment horizontal="center" vertical="center"/>
    </xf>
    <xf numFmtId="0" fontId="7" fillId="0" borderId="2" xfId="0" applyFont="1" applyBorder="1" applyAlignment="1">
      <alignment horizontal="center" vertical="center"/>
    </xf>
    <xf numFmtId="0" fontId="7" fillId="0" borderId="37" xfId="0" applyFont="1" applyBorder="1" applyAlignment="1">
      <alignment horizontal="center" vertical="center"/>
    </xf>
    <xf numFmtId="0" fontId="0" fillId="0" borderId="2" xfId="0" applyFont="1" applyBorder="1"/>
    <xf numFmtId="0" fontId="0" fillId="0" borderId="37" xfId="0" applyFont="1" applyBorder="1"/>
    <xf numFmtId="0" fontId="0" fillId="0" borderId="31" xfId="0" applyFont="1" applyBorder="1" applyAlignment="1">
      <alignment horizontal="center" vertical="center"/>
    </xf>
    <xf numFmtId="0" fontId="0" fillId="0" borderId="29" xfId="0" applyFont="1" applyBorder="1" applyAlignment="1">
      <alignment horizontal="center" vertical="center"/>
    </xf>
    <xf numFmtId="0" fontId="0" fillId="0" borderId="25" xfId="0" applyFont="1" applyBorder="1" applyAlignment="1">
      <alignment horizontal="left"/>
    </xf>
    <xf numFmtId="0" fontId="0" fillId="0" borderId="38" xfId="0" applyFont="1" applyBorder="1" applyAlignment="1">
      <alignment horizontal="left"/>
    </xf>
    <xf numFmtId="0" fontId="0" fillId="0" borderId="19" xfId="0" applyFont="1" applyBorder="1" applyAlignment="1">
      <alignment horizontal="left"/>
    </xf>
    <xf numFmtId="0" fontId="0" fillId="0" borderId="16" xfId="0" applyFont="1" applyBorder="1" applyAlignment="1">
      <alignment vertical="center"/>
    </xf>
    <xf numFmtId="0" fontId="18" fillId="0" borderId="0" xfId="0" applyFont="1" applyAlignment="1">
      <alignment horizontal="center" vertical="center"/>
    </xf>
    <xf numFmtId="0" fontId="18" fillId="0" borderId="3" xfId="0" applyFont="1" applyBorder="1" applyAlignment="1">
      <alignment horizontal="center" vertical="center"/>
    </xf>
    <xf numFmtId="0" fontId="18" fillId="0" borderId="14" xfId="0" applyFont="1" applyBorder="1" applyAlignment="1">
      <alignment horizontal="center" vertical="center"/>
    </xf>
    <xf numFmtId="0" fontId="18" fillId="0" borderId="16" xfId="0" applyFont="1" applyBorder="1" applyAlignment="1">
      <alignment horizontal="center" vertical="center"/>
    </xf>
    <xf numFmtId="0" fontId="0" fillId="0" borderId="17" xfId="0" applyFont="1" applyBorder="1" applyAlignment="1">
      <alignment horizontal="center" vertical="center"/>
    </xf>
    <xf numFmtId="0" fontId="0" fillId="0" borderId="10" xfId="0" applyFont="1" applyBorder="1" applyAlignment="1">
      <alignment horizontal="center" vertical="center"/>
    </xf>
    <xf numFmtId="0" fontId="14" fillId="0" borderId="17" xfId="0" applyFont="1" applyBorder="1" applyAlignment="1">
      <alignment horizontal="center" vertical="center"/>
    </xf>
    <xf numFmtId="0" fontId="0" fillId="0" borderId="5" xfId="0" applyFont="1" applyBorder="1" applyAlignment="1">
      <alignment horizontal="center" vertical="center"/>
    </xf>
    <xf numFmtId="0" fontId="0"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8" xfId="0" applyFont="1" applyBorder="1" applyAlignment="1">
      <alignment horizontal="center" vertical="center"/>
    </xf>
    <xf numFmtId="0" fontId="0" fillId="0" borderId="39" xfId="0" applyFont="1" applyBorder="1" applyAlignment="1">
      <alignment horizontal="center" vertical="center" textRotation="90" wrapText="1"/>
    </xf>
    <xf numFmtId="0" fontId="7" fillId="0" borderId="20" xfId="0" applyFont="1" applyBorder="1" applyAlignment="1">
      <alignment horizontal="center" vertical="center"/>
    </xf>
    <xf numFmtId="0" fontId="7" fillId="0" borderId="6" xfId="0" applyFont="1" applyBorder="1" applyAlignment="1">
      <alignment horizontal="center" vertical="center"/>
    </xf>
    <xf numFmtId="0" fontId="7" fillId="0" borderId="21" xfId="0" applyFont="1" applyBorder="1" applyAlignment="1">
      <alignment horizontal="center" vertical="center"/>
    </xf>
    <xf numFmtId="0" fontId="0" fillId="0" borderId="9" xfId="0" applyBorder="1" applyAlignment="1">
      <alignment horizontal="center" vertical="center" textRotation="90"/>
    </xf>
    <xf numFmtId="0" fontId="20" fillId="0" borderId="17" xfId="0" applyFont="1" applyBorder="1" applyAlignment="1">
      <alignment horizontal="center" vertical="center"/>
    </xf>
    <xf numFmtId="0" fontId="20" fillId="0" borderId="18" xfId="0" applyFont="1" applyBorder="1" applyAlignment="1">
      <alignment horizontal="center" vertical="center"/>
    </xf>
    <xf numFmtId="0" fontId="20" fillId="0" borderId="0" xfId="0" applyFont="1" applyAlignment="1">
      <alignment horizontal="center" vertical="center"/>
    </xf>
    <xf numFmtId="0" fontId="20" fillId="0" borderId="4" xfId="0" applyFont="1" applyBorder="1" applyAlignment="1">
      <alignment horizontal="center" vertical="center"/>
    </xf>
    <xf numFmtId="0" fontId="20" fillId="0" borderId="5" xfId="0" applyFont="1" applyBorder="1" applyAlignment="1">
      <alignment horizontal="center" vertical="center"/>
    </xf>
    <xf numFmtId="0" fontId="20" fillId="0" borderId="1" xfId="0" applyFont="1" applyBorder="1" applyAlignment="1">
      <alignment horizontal="center" vertical="center"/>
    </xf>
    <xf numFmtId="0" fontId="20" fillId="0" borderId="15" xfId="0" applyFont="1" applyBorder="1" applyAlignment="1">
      <alignment horizontal="center" vertical="center"/>
    </xf>
    <xf numFmtId="0" fontId="20" fillId="0" borderId="16" xfId="0" applyFont="1" applyBorder="1" applyAlignment="1">
      <alignment horizontal="center" vertical="center"/>
    </xf>
    <xf numFmtId="0" fontId="20" fillId="0" borderId="1" xfId="0" applyFont="1" applyBorder="1" applyAlignment="1">
      <alignment horizontal="center"/>
    </xf>
    <xf numFmtId="0" fontId="20" fillId="0" borderId="14" xfId="0" applyFont="1" applyBorder="1" applyAlignment="1">
      <alignment horizontal="center"/>
    </xf>
    <xf numFmtId="0" fontId="0" fillId="0" borderId="36" xfId="0" applyFont="1" applyBorder="1"/>
    <xf numFmtId="0" fontId="0" fillId="0" borderId="2" xfId="0" applyFont="1" applyFill="1" applyBorder="1" applyAlignment="1">
      <alignment horizontal="center"/>
    </xf>
    <xf numFmtId="0" fontId="0" fillId="0" borderId="2" xfId="0" applyFont="1" applyBorder="1" applyAlignment="1">
      <alignment horizontal="center"/>
    </xf>
    <xf numFmtId="0" fontId="0" fillId="0" borderId="37" xfId="0" applyFont="1" applyBorder="1" applyAlignment="1">
      <alignment horizontal="center" vertical="center"/>
    </xf>
    <xf numFmtId="0" fontId="7" fillId="0" borderId="37" xfId="0" applyFont="1" applyBorder="1" applyAlignment="1">
      <alignment horizontal="center" vertical="center" wrapText="1"/>
    </xf>
    <xf numFmtId="0" fontId="18" fillId="0" borderId="36" xfId="0" applyFont="1" applyBorder="1" applyAlignment="1">
      <alignment horizontal="center" vertical="center"/>
    </xf>
    <xf numFmtId="0" fontId="20" fillId="0" borderId="8" xfId="0" applyFont="1" applyBorder="1" applyAlignment="1">
      <alignment horizontal="center" vertical="center"/>
    </xf>
    <xf numFmtId="0" fontId="20" fillId="0" borderId="39" xfId="0" applyFont="1" applyBorder="1" applyAlignment="1">
      <alignment horizontal="center" vertical="center"/>
    </xf>
    <xf numFmtId="0" fontId="20" fillId="0" borderId="9" xfId="0" applyFont="1" applyBorder="1" applyAlignment="1">
      <alignment horizontal="center" vertical="center"/>
    </xf>
    <xf numFmtId="0" fontId="20" fillId="0" borderId="7" xfId="0" applyFont="1" applyBorder="1" applyAlignment="1">
      <alignment horizontal="center" vertical="center"/>
    </xf>
    <xf numFmtId="0" fontId="4" fillId="0" borderId="15" xfId="0" applyFont="1" applyBorder="1" applyAlignment="1">
      <alignment horizontal="center" vertical="center"/>
    </xf>
    <xf numFmtId="0" fontId="0" fillId="0" borderId="5" xfId="0" applyFont="1" applyBorder="1" applyAlignment="1">
      <alignment vertical="center"/>
    </xf>
    <xf numFmtId="0" fontId="0" fillId="0" borderId="15" xfId="0" applyFont="1" applyBorder="1" applyAlignment="1">
      <alignment vertical="center"/>
    </xf>
    <xf numFmtId="0" fontId="20" fillId="0" borderId="14" xfId="0" applyFont="1" applyBorder="1" applyAlignment="1">
      <alignment horizontal="center" vertical="center"/>
    </xf>
    <xf numFmtId="0" fontId="0" fillId="0" borderId="41" xfId="0" applyFont="1" applyFill="1" applyBorder="1" applyAlignment="1">
      <alignment horizontal="center"/>
    </xf>
    <xf numFmtId="0" fontId="0" fillId="0" borderId="41" xfId="0" applyFont="1" applyBorder="1" applyAlignment="1">
      <alignment horizontal="center"/>
    </xf>
    <xf numFmtId="0" fontId="0" fillId="0" borderId="42" xfId="0" applyFont="1" applyBorder="1" applyAlignment="1">
      <alignment horizontal="center" vertical="center"/>
    </xf>
    <xf numFmtId="0" fontId="0" fillId="0" borderId="19" xfId="0" applyFont="1" applyBorder="1" applyAlignment="1">
      <alignment horizontal="center" vertical="center"/>
    </xf>
    <xf numFmtId="0" fontId="0" fillId="0" borderId="40" xfId="0" applyFont="1" applyBorder="1" applyAlignment="1">
      <alignment horizontal="left" vertical="center"/>
    </xf>
    <xf numFmtId="0" fontId="7" fillId="0" borderId="33" xfId="0" applyFont="1" applyBorder="1" applyAlignment="1">
      <alignment horizontal="center" vertical="center"/>
    </xf>
    <xf numFmtId="0" fontId="0" fillId="0" borderId="33" xfId="0" applyFont="1" applyBorder="1"/>
    <xf numFmtId="0" fontId="7" fillId="0" borderId="43" xfId="0" applyFont="1" applyBorder="1" applyAlignment="1">
      <alignment horizontal="center" vertical="center"/>
    </xf>
    <xf numFmtId="0" fontId="0" fillId="0" borderId="43" xfId="0" applyFont="1" applyBorder="1"/>
    <xf numFmtId="0" fontId="0" fillId="0" borderId="32" xfId="0" applyFont="1" applyBorder="1" applyAlignment="1">
      <alignment vertical="center"/>
    </xf>
    <xf numFmtId="0" fontId="0" fillId="0" borderId="10" xfId="0" applyFont="1" applyBorder="1" applyAlignment="1">
      <alignment horizontal="center"/>
    </xf>
    <xf numFmtId="0" fontId="0" fillId="0" borderId="30" xfId="0" applyFont="1" applyBorder="1" applyAlignment="1">
      <alignment horizontal="center" vertical="center"/>
    </xf>
    <xf numFmtId="0" fontId="20" fillId="0" borderId="32" xfId="0" applyFont="1" applyBorder="1" applyAlignment="1">
      <alignment horizontal="center" vertical="center"/>
    </xf>
    <xf numFmtId="0" fontId="20" fillId="0" borderId="10" xfId="0" applyFont="1" applyBorder="1" applyAlignment="1">
      <alignment horizontal="center" vertical="center"/>
    </xf>
    <xf numFmtId="0" fontId="0" fillId="0" borderId="30" xfId="0" applyFont="1" applyBorder="1"/>
    <xf numFmtId="0" fontId="0" fillId="0" borderId="32" xfId="0" applyFont="1" applyBorder="1"/>
    <xf numFmtId="0" fontId="0" fillId="0" borderId="10" xfId="0" applyFont="1" applyBorder="1"/>
    <xf numFmtId="0" fontId="7" fillId="0" borderId="32" xfId="0" applyFont="1" applyBorder="1" applyAlignment="1">
      <alignment horizontal="center" vertical="center"/>
    </xf>
    <xf numFmtId="0" fontId="7" fillId="0" borderId="10" xfId="0" applyFont="1" applyBorder="1" applyAlignment="1">
      <alignment horizontal="center" vertical="center"/>
    </xf>
    <xf numFmtId="0" fontId="7" fillId="0" borderId="44" xfId="0" applyFont="1" applyBorder="1" applyAlignment="1">
      <alignment horizontal="center" vertical="center"/>
    </xf>
    <xf numFmtId="0" fontId="7" fillId="0" borderId="30" xfId="0" applyFont="1" applyBorder="1" applyAlignment="1">
      <alignment horizontal="center" vertical="center"/>
    </xf>
    <xf numFmtId="0" fontId="20" fillId="0" borderId="30" xfId="0" applyFont="1" applyBorder="1" applyAlignment="1">
      <alignment horizontal="center" vertical="center"/>
    </xf>
    <xf numFmtId="0" fontId="0" fillId="0" borderId="35" xfId="0" applyFont="1" applyBorder="1" applyAlignment="1">
      <alignment horizontal="center" vertical="center"/>
    </xf>
    <xf numFmtId="0" fontId="0" fillId="0" borderId="4" xfId="0" applyFont="1" applyBorder="1" applyAlignment="1">
      <alignment vertical="center"/>
    </xf>
    <xf numFmtId="0" fontId="0" fillId="0" borderId="7" xfId="0" applyFont="1" applyBorder="1" applyAlignment="1">
      <alignment horizontal="left" vertical="center"/>
    </xf>
    <xf numFmtId="0" fontId="0" fillId="0" borderId="39" xfId="0" applyFont="1" applyBorder="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wrapText="1"/>
    </xf>
    <xf numFmtId="0" fontId="7" fillId="0" borderId="12" xfId="0" applyFont="1" applyBorder="1" applyAlignment="1">
      <alignment horizontal="center" vertical="center"/>
    </xf>
    <xf numFmtId="0" fontId="7" fillId="0" borderId="9" xfId="0" applyFont="1" applyBorder="1" applyAlignment="1">
      <alignment horizontal="center" vertical="center"/>
    </xf>
    <xf numFmtId="0" fontId="7" fillId="0" borderId="39" xfId="0" applyFont="1" applyBorder="1" applyAlignment="1">
      <alignment horizontal="center" vertical="center"/>
    </xf>
    <xf numFmtId="0" fontId="0" fillId="0" borderId="12" xfId="0" applyFont="1" applyBorder="1"/>
    <xf numFmtId="0" fontId="0" fillId="0" borderId="10" xfId="0" applyFont="1" applyFill="1" applyBorder="1" applyAlignment="1">
      <alignment horizontal="center"/>
    </xf>
    <xf numFmtId="0" fontId="0" fillId="0" borderId="7" xfId="0" applyFont="1" applyFill="1" applyBorder="1"/>
    <xf numFmtId="0" fontId="0" fillId="0" borderId="24" xfId="0" applyFont="1" applyBorder="1"/>
    <xf numFmtId="0" fontId="8" fillId="0" borderId="0" xfId="0" applyFont="1" applyBorder="1" applyAlignment="1">
      <alignment vertical="center"/>
    </xf>
    <xf numFmtId="0" fontId="14" fillId="0" borderId="28" xfId="0" applyFont="1" applyBorder="1" applyAlignment="1">
      <alignment horizontal="center" vertical="center"/>
    </xf>
    <xf numFmtId="0" fontId="14" fillId="0" borderId="29" xfId="0" applyFont="1" applyBorder="1" applyAlignment="1">
      <alignment horizontal="center" vertical="center"/>
    </xf>
    <xf numFmtId="0" fontId="7" fillId="0" borderId="40" xfId="0" applyFont="1" applyFill="1" applyBorder="1" applyAlignment="1">
      <alignment horizontal="center" vertical="center"/>
    </xf>
    <xf numFmtId="0" fontId="19" fillId="0" borderId="41" xfId="0"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wrapText="1"/>
    </xf>
    <xf numFmtId="0" fontId="7" fillId="0" borderId="0" xfId="0" applyFont="1" applyFill="1" applyBorder="1" applyAlignment="1">
      <alignment horizontal="center" vertical="center"/>
    </xf>
    <xf numFmtId="0" fontId="7" fillId="0" borderId="42" xfId="0" applyFont="1" applyFill="1" applyBorder="1" applyAlignment="1">
      <alignment horizontal="center" vertical="center"/>
    </xf>
    <xf numFmtId="0" fontId="0" fillId="0" borderId="0" xfId="0" applyFont="1" applyFill="1"/>
    <xf numFmtId="0" fontId="18" fillId="0" borderId="40" xfId="0" applyFont="1" applyFill="1" applyBorder="1" applyAlignment="1">
      <alignment horizontal="center" vertical="center"/>
    </xf>
    <xf numFmtId="0" fontId="0" fillId="0" borderId="41" xfId="0" applyFont="1" applyFill="1" applyBorder="1"/>
    <xf numFmtId="0" fontId="0" fillId="0" borderId="42" xfId="0" applyFont="1" applyFill="1" applyBorder="1"/>
    <xf numFmtId="0" fontId="7" fillId="0" borderId="16" xfId="0" applyFont="1" applyFill="1" applyBorder="1" applyAlignment="1">
      <alignment horizontal="center" vertical="center"/>
    </xf>
    <xf numFmtId="0" fontId="7" fillId="0" borderId="17" xfId="0" applyFont="1" applyFill="1" applyBorder="1" applyAlignment="1">
      <alignment horizontal="center" vertical="center"/>
    </xf>
    <xf numFmtId="0" fontId="7" fillId="0" borderId="18" xfId="0" applyFont="1" applyFill="1" applyBorder="1" applyAlignment="1">
      <alignment horizontal="center" vertical="center" wrapText="1"/>
    </xf>
    <xf numFmtId="0" fontId="19" fillId="0" borderId="17" xfId="0" applyFont="1" applyFill="1" applyBorder="1" applyAlignment="1">
      <alignment horizontal="center" vertical="center"/>
    </xf>
    <xf numFmtId="0" fontId="7" fillId="0" borderId="18" xfId="0" applyFont="1" applyFill="1" applyBorder="1" applyAlignment="1">
      <alignment horizontal="center" vertical="center"/>
    </xf>
    <xf numFmtId="0" fontId="7" fillId="0" borderId="21" xfId="0" applyFont="1" applyFill="1" applyBorder="1" applyAlignment="1">
      <alignment horizontal="center" vertical="center"/>
    </xf>
    <xf numFmtId="0" fontId="0" fillId="0" borderId="17" xfId="0" applyFont="1" applyFill="1" applyBorder="1"/>
    <xf numFmtId="0" fontId="0" fillId="0" borderId="18" xfId="0" applyFont="1" applyFill="1" applyBorder="1"/>
    <xf numFmtId="0" fontId="7" fillId="0" borderId="14" xfId="0" applyFont="1" applyFill="1" applyBorder="1" applyAlignment="1">
      <alignment horizontal="center" vertical="center"/>
    </xf>
    <xf numFmtId="0" fontId="7" fillId="0" borderId="1" xfId="0" applyFont="1" applyFill="1" applyBorder="1" applyAlignment="1">
      <alignment horizontal="center" vertical="center"/>
    </xf>
    <xf numFmtId="0" fontId="7" fillId="0" borderId="15"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6" xfId="0" applyFont="1" applyFill="1" applyBorder="1" applyAlignment="1">
      <alignment horizontal="center" vertical="center"/>
    </xf>
    <xf numFmtId="0" fontId="0" fillId="0" borderId="0" xfId="0" applyFont="1" applyFill="1" applyBorder="1"/>
    <xf numFmtId="0" fontId="0" fillId="0" borderId="1" xfId="0" applyFont="1" applyFill="1" applyBorder="1" applyAlignment="1">
      <alignment vertical="center"/>
    </xf>
    <xf numFmtId="0" fontId="0" fillId="0" borderId="15" xfId="0" applyFont="1" applyFill="1" applyBorder="1" applyAlignment="1">
      <alignment vertical="center"/>
    </xf>
    <xf numFmtId="0" fontId="18" fillId="0" borderId="31" xfId="0" applyFont="1" applyBorder="1" applyAlignment="1">
      <alignment horizontal="center" vertical="center"/>
    </xf>
    <xf numFmtId="0" fontId="0" fillId="0" borderId="28" xfId="0" applyFont="1" applyBorder="1"/>
    <xf numFmtId="0" fontId="0" fillId="0" borderId="1" xfId="0" applyFont="1" applyFill="1" applyBorder="1"/>
    <xf numFmtId="0" fontId="14" fillId="0" borderId="14" xfId="0" applyFont="1" applyBorder="1" applyAlignment="1">
      <alignment horizontal="center" vertical="center"/>
    </xf>
    <xf numFmtId="0" fontId="20" fillId="0" borderId="15" xfId="0" applyFont="1" applyBorder="1" applyAlignment="1">
      <alignment horizontal="center"/>
    </xf>
    <xf numFmtId="0" fontId="0" fillId="0" borderId="15" xfId="0" applyFont="1" applyFill="1" applyBorder="1"/>
    <xf numFmtId="0" fontId="20" fillId="0" borderId="1" xfId="0" applyFont="1" applyFill="1" applyBorder="1" applyAlignment="1">
      <alignment horizontal="center" vertical="center"/>
    </xf>
    <xf numFmtId="0" fontId="20" fillId="0" borderId="15" xfId="0" applyFont="1" applyFill="1" applyBorder="1" applyAlignment="1">
      <alignment horizontal="center" vertical="center"/>
    </xf>
    <xf numFmtId="0" fontId="0" fillId="0" borderId="23" xfId="0" applyFont="1" applyFill="1" applyBorder="1" applyAlignment="1">
      <alignment horizontal="left"/>
    </xf>
    <xf numFmtId="0" fontId="0" fillId="0" borderId="16" xfId="0" applyFont="1" applyFill="1" applyBorder="1"/>
    <xf numFmtId="0" fontId="0" fillId="0" borderId="21" xfId="0" applyFont="1" applyFill="1" applyBorder="1" applyAlignment="1">
      <alignment horizontal="center" vertical="center"/>
    </xf>
    <xf numFmtId="0" fontId="7" fillId="0" borderId="43" xfId="0" applyFont="1" applyFill="1" applyBorder="1" applyAlignment="1">
      <alignment horizontal="center" vertical="center"/>
    </xf>
    <xf numFmtId="0" fontId="0" fillId="0" borderId="43" xfId="0" applyFont="1" applyFill="1" applyBorder="1"/>
    <xf numFmtId="0" fontId="0" fillId="0" borderId="17" xfId="0" applyFont="1" applyFill="1" applyBorder="1" applyAlignment="1">
      <alignment vertical="center"/>
    </xf>
    <xf numFmtId="0" fontId="21" fillId="0" borderId="0" xfId="0" applyFont="1"/>
    <xf numFmtId="0" fontId="0" fillId="0" borderId="18" xfId="0" applyFont="1" applyBorder="1" applyAlignment="1">
      <alignment horizontal="center" vertical="center"/>
    </xf>
    <xf numFmtId="0" fontId="0" fillId="0" borderId="18" xfId="0" applyFont="1" applyBorder="1" applyAlignment="1">
      <alignment horizontal="center" vertical="center"/>
    </xf>
    <xf numFmtId="0" fontId="0" fillId="0" borderId="0" xfId="0" applyAlignment="1">
      <alignment horizontal="center" vertical="center"/>
    </xf>
    <xf numFmtId="0" fontId="9" fillId="0" borderId="0" xfId="0" applyFont="1" applyBorder="1" applyAlignment="1">
      <alignment horizontal="justify" vertical="center"/>
    </xf>
    <xf numFmtId="0" fontId="22" fillId="0" borderId="0" xfId="0" applyFont="1" applyBorder="1"/>
    <xf numFmtId="0" fontId="0" fillId="0" borderId="3" xfId="0" applyBorder="1" applyAlignment="1">
      <alignment horizontal="center"/>
    </xf>
    <xf numFmtId="0" fontId="22" fillId="0" borderId="5" xfId="0" applyFont="1" applyFill="1" applyBorder="1" applyAlignment="1">
      <alignment horizontal="center"/>
    </xf>
    <xf numFmtId="0" fontId="0" fillId="0" borderId="14" xfId="0" applyFont="1" applyBorder="1" applyAlignment="1">
      <alignment horizontal="center" vertical="center"/>
    </xf>
    <xf numFmtId="0" fontId="0" fillId="0" borderId="15" xfId="0" applyFont="1" applyBorder="1" applyAlignment="1">
      <alignment horizontal="center"/>
    </xf>
    <xf numFmtId="0" fontId="0" fillId="0" borderId="16" xfId="0" applyFont="1" applyBorder="1" applyAlignment="1">
      <alignment horizontal="center" vertical="center"/>
    </xf>
    <xf numFmtId="0" fontId="0" fillId="0" borderId="11" xfId="0" applyBorder="1"/>
    <xf numFmtId="0" fontId="0" fillId="0" borderId="13" xfId="0" applyBorder="1"/>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applyAlignment="1">
      <alignment horizontal="left"/>
    </xf>
    <xf numFmtId="0" fontId="0" fillId="0" borderId="12" xfId="0" applyBorder="1" applyAlignment="1">
      <alignment horizontal="left"/>
    </xf>
    <xf numFmtId="0" fontId="0" fillId="0" borderId="13" xfId="0" applyBorder="1" applyAlignment="1">
      <alignment horizontal="left"/>
    </xf>
    <xf numFmtId="0" fontId="0" fillId="0" borderId="35" xfId="0" applyBorder="1" applyAlignment="1">
      <alignment horizontal="center" vertical="center"/>
    </xf>
    <xf numFmtId="0" fontId="22" fillId="0" borderId="0" xfId="0" applyFont="1"/>
    <xf numFmtId="0" fontId="23" fillId="0" borderId="0" xfId="0" applyFont="1" applyBorder="1" applyAlignment="1">
      <alignment vertical="center"/>
    </xf>
    <xf numFmtId="0" fontId="0" fillId="0" borderId="0" xfId="0" applyBorder="1"/>
    <xf numFmtId="0" fontId="24" fillId="0" borderId="0" xfId="0" applyFont="1" applyBorder="1" applyAlignment="1">
      <alignment vertical="center"/>
    </xf>
    <xf numFmtId="0" fontId="25" fillId="0" borderId="0" xfId="0" applyFont="1" applyBorder="1" applyAlignment="1">
      <alignment vertical="center"/>
    </xf>
    <xf numFmtId="0" fontId="24" fillId="0" borderId="0" xfId="0" applyFont="1" applyBorder="1" applyAlignment="1">
      <alignment horizontal="left" vertical="center"/>
    </xf>
    <xf numFmtId="0" fontId="25" fillId="0" borderId="0" xfId="0" applyFont="1" applyBorder="1" applyAlignment="1">
      <alignment horizontal="left" vertical="center"/>
    </xf>
    <xf numFmtId="0" fontId="26" fillId="0" borderId="0" xfId="0" applyFont="1" applyBorder="1" applyAlignment="1">
      <alignment vertical="center"/>
    </xf>
    <xf numFmtId="0" fontId="27" fillId="0" borderId="0" xfId="0" applyFont="1" applyBorder="1" applyAlignment="1">
      <alignment vertical="center"/>
    </xf>
    <xf numFmtId="0" fontId="0" fillId="0" borderId="0" xfId="0" applyAlignment="1">
      <alignment horizontal="center"/>
    </xf>
    <xf numFmtId="0" fontId="0" fillId="0" borderId="18" xfId="0" applyFont="1" applyBorder="1" applyAlignment="1">
      <alignment horizontal="center" vertic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applyBorder="1" applyAlignment="1">
      <alignment horizontal="center" vertical="center"/>
    </xf>
    <xf numFmtId="0" fontId="9" fillId="0" borderId="0" xfId="0" applyFont="1" applyBorder="1" applyAlignment="1">
      <alignment horizontal="justify" vertical="center" textRotation="90"/>
    </xf>
    <xf numFmtId="0" fontId="0" fillId="0" borderId="0" xfId="0" applyBorder="1" applyAlignment="1">
      <alignment horizontal="left"/>
    </xf>
    <xf numFmtId="0" fontId="28" fillId="0" borderId="0" xfId="0" applyFont="1" applyBorder="1" applyAlignment="1">
      <alignment vertical="center"/>
    </xf>
    <xf numFmtId="0" fontId="29" fillId="0" borderId="0" xfId="0" applyFont="1"/>
    <xf numFmtId="0" fontId="0" fillId="0" borderId="18" xfId="0" applyFont="1" applyBorder="1" applyAlignment="1">
      <alignment horizontal="center" vertic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applyBorder="1" applyAlignment="1">
      <alignment horizontal="left"/>
    </xf>
    <xf numFmtId="0" fontId="0" fillId="0" borderId="0" xfId="0" applyBorder="1" applyAlignment="1"/>
    <xf numFmtId="0" fontId="22" fillId="0" borderId="0" xfId="0" applyFont="1" applyBorder="1" applyAlignment="1"/>
    <xf numFmtId="0" fontId="0" fillId="0" borderId="0" xfId="0" applyFont="1" applyBorder="1" applyAlignment="1">
      <alignment horizontal="left" vertical="center"/>
    </xf>
    <xf numFmtId="0" fontId="2" fillId="0" borderId="0" xfId="0" applyFont="1" applyBorder="1" applyAlignment="1">
      <alignment vertical="center"/>
    </xf>
    <xf numFmtId="0" fontId="30" fillId="3" borderId="0" xfId="0" applyFont="1" applyFill="1" applyAlignment="1">
      <alignment horizontal="center"/>
    </xf>
    <xf numFmtId="0" fontId="30" fillId="4" borderId="0" xfId="0" applyFont="1" applyFill="1" applyAlignment="1">
      <alignment horizontal="center"/>
    </xf>
    <xf numFmtId="0" fontId="30" fillId="2" borderId="0" xfId="0" applyFont="1" applyFill="1" applyAlignment="1">
      <alignment horizontal="center"/>
    </xf>
    <xf numFmtId="0" fontId="8" fillId="0" borderId="11" xfId="0" applyFont="1" applyBorder="1" applyAlignment="1">
      <alignment vertical="center"/>
    </xf>
    <xf numFmtId="0" fontId="8" fillId="0" borderId="12" xfId="0" applyFont="1" applyBorder="1" applyAlignment="1">
      <alignment vertical="center"/>
    </xf>
    <xf numFmtId="0" fontId="0" fillId="0" borderId="0" xfId="0" applyFont="1" applyBorder="1" applyAlignment="1">
      <alignment horizontal="left"/>
    </xf>
    <xf numFmtId="0" fontId="0" fillId="0" borderId="0" xfId="0" applyFont="1" applyBorder="1" applyAlignment="1"/>
    <xf numFmtId="0" fontId="0" fillId="0" borderId="0" xfId="0" applyFont="1" applyBorder="1" applyAlignment="1">
      <alignment horizontal="left" vertical="center" indent="6"/>
    </xf>
    <xf numFmtId="0" fontId="0" fillId="0" borderId="12" xfId="0" applyBorder="1"/>
    <xf numFmtId="0" fontId="0" fillId="0" borderId="13" xfId="0" applyBorder="1" applyAlignment="1">
      <alignment horizontal="center" vertical="center"/>
    </xf>
    <xf numFmtId="0" fontId="23" fillId="0" borderId="0" xfId="0" applyFont="1"/>
    <xf numFmtId="0" fontId="31" fillId="0" borderId="0" xfId="0" applyFont="1" applyBorder="1" applyAlignment="1">
      <alignment vertical="center"/>
    </xf>
    <xf numFmtId="0" fontId="31" fillId="0" borderId="0" xfId="0" applyFont="1" applyBorder="1" applyAlignment="1">
      <alignment horizontal="left" vertical="center"/>
    </xf>
    <xf numFmtId="0" fontId="32" fillId="0" borderId="0" xfId="0" applyFont="1"/>
    <xf numFmtId="0" fontId="36" fillId="0" borderId="35" xfId="0" applyFont="1" applyBorder="1" applyAlignment="1">
      <alignment horizontal="center" vertical="center"/>
    </xf>
    <xf numFmtId="0" fontId="29" fillId="0" borderId="0" xfId="0" applyFont="1" applyBorder="1"/>
    <xf numFmtId="0" fontId="0" fillId="0" borderId="0" xfId="0" applyBorder="1" applyAlignment="1">
      <alignment horizontal="left" indent="3"/>
    </xf>
    <xf numFmtId="0" fontId="0" fillId="0" borderId="48" xfId="0" applyBorder="1"/>
    <xf numFmtId="0" fontId="22" fillId="0" borderId="49" xfId="0" applyFont="1" applyBorder="1"/>
    <xf numFmtId="0" fontId="0" fillId="0" borderId="49" xfId="0" applyBorder="1"/>
    <xf numFmtId="0" fontId="0" fillId="0" borderId="49" xfId="0" applyBorder="1" applyAlignment="1">
      <alignment horizontal="left" indent="3"/>
    </xf>
    <xf numFmtId="0" fontId="29" fillId="0" borderId="0" xfId="0" applyFont="1" applyAlignment="1"/>
    <xf numFmtId="0" fontId="0" fillId="0" borderId="50" xfId="0" applyBorder="1"/>
    <xf numFmtId="0" fontId="22" fillId="5" borderId="0" xfId="0" applyFont="1" applyFill="1" applyBorder="1"/>
    <xf numFmtId="0" fontId="0" fillId="5" borderId="0" xfId="0" applyFill="1"/>
    <xf numFmtId="0" fontId="28" fillId="0" borderId="0" xfId="0" applyFont="1" applyBorder="1" applyAlignment="1">
      <alignment horizontal="left" vertical="center" indent="3"/>
    </xf>
    <xf numFmtId="0" fontId="0" fillId="0" borderId="0" xfId="0" applyFont="1" applyBorder="1" applyAlignment="1">
      <alignment horizontal="left" indent="3"/>
    </xf>
    <xf numFmtId="0" fontId="22" fillId="5" borderId="49" xfId="0" applyFont="1" applyFill="1" applyBorder="1"/>
    <xf numFmtId="0" fontId="0" fillId="0" borderId="0" xfId="0" applyBorder="1" applyAlignment="1">
      <alignment horizontal="left" indent="2"/>
    </xf>
    <xf numFmtId="0" fontId="0" fillId="0" borderId="49" xfId="0" applyBorder="1" applyAlignment="1">
      <alignment horizontal="left" indent="2"/>
    </xf>
    <xf numFmtId="0" fontId="0" fillId="0" borderId="49" xfId="0" applyBorder="1" applyAlignment="1">
      <alignment horizontal="left"/>
    </xf>
    <xf numFmtId="0" fontId="22" fillId="0" borderId="49" xfId="0" applyFont="1" applyBorder="1" applyAlignment="1">
      <alignment horizontal="left"/>
    </xf>
    <xf numFmtId="0" fontId="0" fillId="0" borderId="49" xfId="0" applyFont="1" applyBorder="1" applyAlignment="1">
      <alignment horizontal="left" indent="3"/>
    </xf>
    <xf numFmtId="0" fontId="29" fillId="0" borderId="49" xfId="0" applyFont="1" applyBorder="1"/>
    <xf numFmtId="0" fontId="0" fillId="0" borderId="50" xfId="0" applyBorder="1" applyAlignment="1">
      <alignment horizontal="left"/>
    </xf>
    <xf numFmtId="0" fontId="0" fillId="0" borderId="18" xfId="0" applyFont="1" applyBorder="1" applyAlignment="1">
      <alignment horizontal="center" vertical="center"/>
    </xf>
    <xf numFmtId="0" fontId="0" fillId="0" borderId="51" xfId="0" applyBorder="1"/>
    <xf numFmtId="0" fontId="28" fillId="0" borderId="51" xfId="0" applyFont="1" applyBorder="1" applyAlignment="1">
      <alignment vertical="center"/>
    </xf>
    <xf numFmtId="0" fontId="0" fillId="0" borderId="51" xfId="0" applyFont="1" applyBorder="1" applyAlignment="1">
      <alignment vertical="center"/>
    </xf>
    <xf numFmtId="0" fontId="0" fillId="0" borderId="51" xfId="0" applyFont="1" applyBorder="1"/>
    <xf numFmtId="0" fontId="0" fillId="0" borderId="49" xfId="0" applyBorder="1" applyAlignment="1">
      <alignment horizontal="left" indent="5"/>
    </xf>
    <xf numFmtId="0" fontId="0" fillId="0" borderId="49" xfId="0" applyFont="1" applyBorder="1" applyAlignment="1">
      <alignment horizontal="left" indent="7"/>
    </xf>
    <xf numFmtId="0" fontId="0" fillId="0" borderId="49" xfId="0" applyBorder="1" applyAlignment="1">
      <alignment horizontal="left" indent="7"/>
    </xf>
    <xf numFmtId="0" fontId="0" fillId="6" borderId="49" xfId="0" applyFill="1" applyBorder="1" applyAlignment="1">
      <alignment horizontal="left" indent="2"/>
    </xf>
    <xf numFmtId="0" fontId="0" fillId="6" borderId="0" xfId="0" applyFill="1"/>
    <xf numFmtId="0" fontId="0" fillId="0" borderId="18" xfId="0" applyFont="1" applyBorder="1" applyAlignment="1">
      <alignment horizontal="center" vertic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applyBorder="1" applyAlignment="1">
      <alignment horizontal="left"/>
    </xf>
    <xf numFmtId="0" fontId="0" fillId="0" borderId="35" xfId="0" applyBorder="1" applyAlignment="1">
      <alignment horizontal="center" vertical="center" wrapText="1"/>
    </xf>
    <xf numFmtId="0" fontId="0" fillId="0" borderId="35" xfId="0" applyBorder="1"/>
    <xf numFmtId="0" fontId="0" fillId="0" borderId="0" xfId="0" applyAlignment="1">
      <alignment vertical="center"/>
    </xf>
    <xf numFmtId="0" fontId="16" fillId="0" borderId="11" xfId="0" applyFont="1" applyBorder="1"/>
    <xf numFmtId="0" fontId="0" fillId="0" borderId="13" xfId="0" applyBorder="1" applyAlignment="1">
      <alignment horizontal="center"/>
    </xf>
    <xf numFmtId="0" fontId="16" fillId="0" borderId="11" xfId="0" applyFont="1" applyBorder="1" applyAlignment="1">
      <alignment vertical="center"/>
    </xf>
    <xf numFmtId="0" fontId="34" fillId="0" borderId="0" xfId="0" applyFont="1" applyFill="1" applyBorder="1"/>
    <xf numFmtId="0" fontId="30" fillId="7" borderId="0" xfId="0" applyFont="1" applyFill="1" applyAlignment="1">
      <alignment horizontal="center"/>
    </xf>
    <xf numFmtId="0" fontId="0" fillId="0" borderId="0" xfId="0" applyFill="1"/>
    <xf numFmtId="0" fontId="0" fillId="0" borderId="52" xfId="0" applyBorder="1"/>
    <xf numFmtId="0" fontId="22" fillId="0" borderId="49" xfId="0" applyFont="1" applyBorder="1" applyAlignment="1">
      <alignment horizontal="left" indent="3"/>
    </xf>
    <xf numFmtId="0" fontId="8" fillId="0" borderId="0" xfId="0" applyFont="1" applyBorder="1" applyAlignment="1">
      <alignment horizontal="left" vertical="center"/>
    </xf>
    <xf numFmtId="0" fontId="0" fillId="0" borderId="0" xfId="0" applyBorder="1" applyAlignment="1">
      <alignment horizontal="left"/>
    </xf>
    <xf numFmtId="0" fontId="38" fillId="0" borderId="0" xfId="0" applyFont="1" applyAlignment="1">
      <alignment horizontal="left" vertical="center" indent="3" readingOrder="1"/>
    </xf>
    <xf numFmtId="0" fontId="38" fillId="0" borderId="0" xfId="0" applyFont="1" applyAlignment="1">
      <alignment horizontal="left" vertical="center" readingOrder="1"/>
    </xf>
    <xf numFmtId="0" fontId="40" fillId="0" borderId="0" xfId="0" applyFont="1"/>
    <xf numFmtId="0" fontId="41" fillId="0" borderId="0" xfId="0" applyFont="1" applyAlignment="1">
      <alignment vertical="center" readingOrder="1"/>
    </xf>
    <xf numFmtId="0" fontId="42" fillId="0" borderId="0" xfId="0" applyFont="1" applyAlignment="1">
      <alignment vertical="center" readingOrder="1"/>
    </xf>
    <xf numFmtId="0" fontId="43" fillId="0" borderId="0" xfId="0" applyFont="1" applyAlignment="1">
      <alignment horizontal="left" vertical="center" readingOrder="1"/>
    </xf>
    <xf numFmtId="0" fontId="0" fillId="0" borderId="10" xfId="0" applyFont="1" applyBorder="1" applyAlignment="1">
      <alignment horizontal="center" vertical="center"/>
    </xf>
    <xf numFmtId="0" fontId="14" fillId="0" borderId="4" xfId="0" applyFont="1" applyBorder="1" applyAlignment="1">
      <alignment horizontal="center" vertical="center"/>
    </xf>
    <xf numFmtId="0" fontId="14" fillId="0" borderId="17" xfId="0" applyFont="1" applyBorder="1" applyAlignment="1">
      <alignment horizontal="center" vertical="center"/>
    </xf>
    <xf numFmtId="0" fontId="0" fillId="0" borderId="5" xfId="0" applyFont="1" applyBorder="1" applyAlignment="1">
      <alignment horizontal="center" vertical="center"/>
    </xf>
    <xf numFmtId="0" fontId="0" fillId="0" borderId="18" xfId="0" applyFont="1" applyBorder="1" applyAlignment="1">
      <alignment horizontal="center" vertical="center"/>
    </xf>
    <xf numFmtId="0" fontId="14" fillId="0" borderId="3" xfId="0" applyFont="1" applyBorder="1" applyAlignment="1">
      <alignment horizontal="center" vertical="center"/>
    </xf>
    <xf numFmtId="0" fontId="14" fillId="0" borderId="16" xfId="0" applyFont="1" applyBorder="1" applyAlignment="1">
      <alignment horizontal="center" vertical="center"/>
    </xf>
    <xf numFmtId="0" fontId="14" fillId="0" borderId="5" xfId="0" applyFont="1" applyBorder="1" applyAlignment="1">
      <alignment horizontal="center" vertical="center"/>
    </xf>
    <xf numFmtId="0" fontId="14" fillId="0" borderId="18" xfId="0" applyFont="1" applyBorder="1" applyAlignment="1">
      <alignment horizontal="center" vertic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8" fillId="0" borderId="0" xfId="0" applyFont="1" applyBorder="1" applyAlignment="1">
      <alignment horizontal="left" vertical="center"/>
    </xf>
    <xf numFmtId="0" fontId="22" fillId="0" borderId="0" xfId="0" applyFont="1" applyBorder="1" applyAlignment="1">
      <alignment horizontal="left"/>
    </xf>
    <xf numFmtId="0" fontId="0" fillId="0" borderId="0" xfId="0" applyBorder="1" applyAlignment="1">
      <alignment horizontal="left"/>
    </xf>
    <xf numFmtId="0" fontId="44" fillId="0" borderId="0" xfId="0" applyFont="1"/>
    <xf numFmtId="0" fontId="8" fillId="0" borderId="0" xfId="0" applyFont="1" applyBorder="1" applyAlignment="1">
      <alignment horizontal="left" vertical="center"/>
    </xf>
    <xf numFmtId="0" fontId="0" fillId="0" borderId="0" xfId="0" applyBorder="1" applyAlignment="1">
      <alignment horizontal="left"/>
    </xf>
    <xf numFmtId="0" fontId="45" fillId="0" borderId="15" xfId="0" applyFont="1" applyBorder="1" applyAlignment="1">
      <alignment horizontal="center"/>
    </xf>
    <xf numFmtId="0" fontId="45" fillId="0" borderId="18" xfId="0" applyFont="1" applyBorder="1" applyAlignment="1">
      <alignment horizontal="center" vertical="center"/>
    </xf>
    <xf numFmtId="0" fontId="6" fillId="0" borderId="8" xfId="0" applyFont="1" applyBorder="1" applyAlignment="1">
      <alignment horizontal="center" vertical="center" textRotation="90" wrapText="1"/>
    </xf>
    <xf numFmtId="0" fontId="6" fillId="0" borderId="7" xfId="0" applyFont="1" applyBorder="1" applyAlignment="1">
      <alignment horizontal="center" vertical="center" textRotation="90" wrapText="1"/>
    </xf>
    <xf numFmtId="0" fontId="46" fillId="0" borderId="8" xfId="0" applyFont="1" applyBorder="1" applyAlignment="1">
      <alignment horizontal="center" vertical="center" textRotation="90" wrapText="1"/>
    </xf>
    <xf numFmtId="0" fontId="0" fillId="0" borderId="9" xfId="0" applyFont="1" applyBorder="1" applyAlignment="1">
      <alignment textRotation="90"/>
    </xf>
    <xf numFmtId="0" fontId="7" fillId="0" borderId="3" xfId="0" applyFont="1" applyFill="1" applyBorder="1" applyAlignment="1">
      <alignment horizontal="center" vertical="center"/>
    </xf>
    <xf numFmtId="0" fontId="7" fillId="0" borderId="4" xfId="0" applyFont="1" applyFill="1" applyBorder="1" applyAlignment="1">
      <alignment horizontal="center" vertical="center"/>
    </xf>
    <xf numFmtId="0" fontId="0" fillId="0" borderId="5" xfId="0" applyFont="1" applyFill="1" applyBorder="1"/>
    <xf numFmtId="0" fontId="45" fillId="0" borderId="4" xfId="0" applyFont="1" applyBorder="1" applyAlignment="1">
      <alignment horizontal="center"/>
    </xf>
    <xf numFmtId="0" fontId="45" fillId="0" borderId="4" xfId="0" applyFont="1" applyFill="1" applyBorder="1" applyAlignment="1">
      <alignment horizontal="center"/>
    </xf>
    <xf numFmtId="0" fontId="47" fillId="0" borderId="3" xfId="0" applyFont="1" applyBorder="1" applyAlignment="1">
      <alignment horizontal="center" vertical="center"/>
    </xf>
    <xf numFmtId="0" fontId="4" fillId="0" borderId="0" xfId="0" applyFont="1" applyBorder="1" applyAlignment="1">
      <alignment horizontal="left" vertical="center"/>
    </xf>
    <xf numFmtId="0" fontId="48" fillId="0" borderId="0" xfId="0" applyFont="1"/>
    <xf numFmtId="0" fontId="19" fillId="0" borderId="0" xfId="0" applyFont="1"/>
    <xf numFmtId="0" fontId="19" fillId="0" borderId="0" xfId="0" applyFont="1" applyAlignment="1">
      <alignment vertical="center"/>
    </xf>
    <xf numFmtId="0" fontId="19" fillId="0" borderId="0" xfId="0" applyFont="1" applyAlignment="1">
      <alignment horizontal="left" vertical="center"/>
    </xf>
    <xf numFmtId="0" fontId="19" fillId="0" borderId="35" xfId="0" applyFont="1" applyBorder="1" applyAlignment="1">
      <alignment horizontal="center" vertical="center"/>
    </xf>
    <xf numFmtId="0" fontId="0" fillId="0" borderId="0" xfId="0" applyFill="1" applyBorder="1"/>
    <xf numFmtId="0" fontId="49" fillId="0" borderId="0" xfId="0" applyFont="1" applyBorder="1" applyAlignment="1">
      <alignment horizontal="left" vertical="center"/>
    </xf>
    <xf numFmtId="0" fontId="22" fillId="0" borderId="0" xfId="0" applyFont="1" applyFill="1" applyBorder="1"/>
    <xf numFmtId="0" fontId="0" fillId="0" borderId="0" xfId="0" applyFill="1" applyBorder="1" applyAlignment="1">
      <alignment horizontal="left" indent="3"/>
    </xf>
    <xf numFmtId="0" fontId="0" fillId="0" borderId="53" xfId="0" applyBorder="1"/>
    <xf numFmtId="0" fontId="20" fillId="0" borderId="0" xfId="0" applyFont="1" applyBorder="1" applyAlignment="1"/>
    <xf numFmtId="0" fontId="32" fillId="0" borderId="0" xfId="0" applyFont="1" applyBorder="1" applyAlignment="1"/>
    <xf numFmtId="0" fontId="16" fillId="0" borderId="0" xfId="0" applyFont="1" applyBorder="1" applyAlignment="1">
      <alignment vertical="center"/>
    </xf>
    <xf numFmtId="0" fontId="0" fillId="0" borderId="0" xfId="0" applyBorder="1" applyAlignment="1">
      <alignment horizontal="center"/>
    </xf>
    <xf numFmtId="0" fontId="8" fillId="0" borderId="0" xfId="0" applyFont="1" applyBorder="1" applyAlignment="1">
      <alignment horizontal="left" vertical="center" wrapText="1"/>
    </xf>
    <xf numFmtId="0" fontId="19" fillId="0" borderId="0" xfId="0" applyFont="1" applyBorder="1" applyAlignment="1">
      <alignment horizontal="center" vertical="center"/>
    </xf>
    <xf numFmtId="0" fontId="45" fillId="0" borderId="0" xfId="0" applyFont="1"/>
    <xf numFmtId="0" fontId="19" fillId="0" borderId="4" xfId="0" applyFont="1" applyBorder="1" applyAlignment="1">
      <alignment horizontal="center"/>
    </xf>
    <xf numFmtId="0" fontId="19" fillId="0" borderId="4" xfId="0" applyFont="1" applyBorder="1" applyAlignment="1">
      <alignment horizontal="center" vertical="center"/>
    </xf>
    <xf numFmtId="0" fontId="19" fillId="0" borderId="3" xfId="0" applyFont="1" applyBorder="1" applyAlignment="1">
      <alignment horizontal="center" vertical="center"/>
    </xf>
    <xf numFmtId="0" fontId="19" fillId="0" borderId="0" xfId="0" applyFont="1" applyBorder="1" applyAlignment="1">
      <alignment horizontal="left" vertical="center"/>
    </xf>
    <xf numFmtId="0" fontId="22" fillId="0" borderId="0" xfId="0" applyFont="1" applyAlignment="1">
      <alignment horizontal="center"/>
    </xf>
    <xf numFmtId="0" fontId="49" fillId="0" borderId="0" xfId="0" applyFont="1" applyFill="1" applyBorder="1" applyAlignment="1">
      <alignment horizontal="left" vertical="center"/>
    </xf>
    <xf numFmtId="0" fontId="19" fillId="0" borderId="0" xfId="0" applyFont="1" applyBorder="1" applyAlignment="1">
      <alignment vertical="center"/>
    </xf>
    <xf numFmtId="0" fontId="22" fillId="0" borderId="0" xfId="0" applyFont="1" applyAlignment="1">
      <alignment horizontal="left"/>
    </xf>
    <xf numFmtId="0" fontId="48" fillId="0" borderId="0" xfId="0" applyFont="1" applyBorder="1"/>
    <xf numFmtId="0" fontId="45" fillId="0" borderId="0" xfId="0" applyFont="1" applyBorder="1"/>
    <xf numFmtId="0" fontId="33" fillId="0" borderId="0" xfId="0" applyFont="1" applyFill="1" applyBorder="1"/>
    <xf numFmtId="0" fontId="34" fillId="0" borderId="0" xfId="0" applyFont="1" applyFill="1" applyBorder="1" applyAlignment="1">
      <alignment horizontal="left"/>
    </xf>
    <xf numFmtId="0" fontId="22" fillId="0" borderId="0" xfId="0" applyFont="1" applyFill="1" applyBorder="1" applyAlignment="1"/>
    <xf numFmtId="0" fontId="0" fillId="0" borderId="0" xfId="0" applyFill="1" applyBorder="1" applyAlignment="1">
      <alignment horizontal="left"/>
    </xf>
    <xf numFmtId="0" fontId="8" fillId="0" borderId="0" xfId="0" applyFont="1" applyFill="1" applyBorder="1" applyAlignment="1">
      <alignment horizontal="left" vertical="center"/>
    </xf>
    <xf numFmtId="0" fontId="0" fillId="0" borderId="50" xfId="0" applyFont="1" applyFill="1" applyBorder="1" applyAlignment="1"/>
    <xf numFmtId="0" fontId="0" fillId="0" borderId="50" xfId="0" applyFont="1" applyFill="1" applyBorder="1" applyAlignment="1">
      <alignment horizontal="left" vertical="center"/>
    </xf>
    <xf numFmtId="0" fontId="0" fillId="0" borderId="50" xfId="0" applyFont="1" applyFill="1" applyBorder="1"/>
    <xf numFmtId="0" fontId="0" fillId="0" borderId="50" xfId="0" applyFont="1" applyFill="1" applyBorder="1" applyAlignment="1">
      <alignment horizontal="left" vertical="center" indent="6"/>
    </xf>
    <xf numFmtId="0" fontId="22" fillId="0" borderId="50" xfId="0" applyFont="1" applyFill="1" applyBorder="1"/>
    <xf numFmtId="0" fontId="0" fillId="0" borderId="50" xfId="0" applyFill="1" applyBorder="1"/>
    <xf numFmtId="0" fontId="0" fillId="0" borderId="50" xfId="0" applyFill="1" applyBorder="1" applyAlignment="1">
      <alignment horizontal="left" indent="3"/>
    </xf>
    <xf numFmtId="0" fontId="0" fillId="0" borderId="50" xfId="0" applyFill="1" applyBorder="1" applyAlignment="1">
      <alignment horizontal="left"/>
    </xf>
    <xf numFmtId="0" fontId="20" fillId="0" borderId="0" xfId="0" applyFont="1" applyFill="1" applyBorder="1"/>
    <xf numFmtId="0" fontId="8" fillId="0" borderId="11" xfId="0" applyFont="1" applyFill="1" applyBorder="1" applyAlignment="1">
      <alignment vertical="center"/>
    </xf>
    <xf numFmtId="0" fontId="19" fillId="0" borderId="0" xfId="0" applyFont="1" applyFill="1" applyBorder="1" applyAlignment="1">
      <alignment vertical="center"/>
    </xf>
    <xf numFmtId="0" fontId="20" fillId="0" borderId="0" xfId="0" applyFont="1" applyBorder="1"/>
    <xf numFmtId="0" fontId="22" fillId="0" borderId="0" xfId="0" applyFont="1" applyBorder="1" applyAlignment="1">
      <alignment horizontal="left" indent="3"/>
    </xf>
    <xf numFmtId="0" fontId="20" fillId="0" borderId="0" xfId="0" applyFont="1"/>
    <xf numFmtId="0" fontId="19" fillId="0" borderId="3" xfId="0" applyFont="1" applyBorder="1" applyAlignment="1">
      <alignment horizontal="left"/>
    </xf>
    <xf numFmtId="0" fontId="19" fillId="0" borderId="3" xfId="0" applyFont="1" applyBorder="1" applyAlignment="1">
      <alignment horizontal="left" vertical="center"/>
    </xf>
    <xf numFmtId="0" fontId="19" fillId="0" borderId="3" xfId="0" applyFont="1" applyBorder="1"/>
    <xf numFmtId="0" fontId="0" fillId="0" borderId="50" xfId="0" applyFont="1" applyBorder="1" applyAlignment="1">
      <alignment horizontal="left" vertical="center"/>
    </xf>
    <xf numFmtId="0" fontId="22" fillId="0" borderId="0" xfId="0" applyFont="1" applyAlignment="1">
      <alignment horizontal="left" indent="1"/>
    </xf>
    <xf numFmtId="0" fontId="8" fillId="0" borderId="0" xfId="0" applyFont="1" applyBorder="1" applyAlignment="1"/>
    <xf numFmtId="0" fontId="8" fillId="0" borderId="0" xfId="0" applyFont="1" applyBorder="1"/>
    <xf numFmtId="0" fontId="19" fillId="0" borderId="0" xfId="0" applyFont="1" applyAlignment="1">
      <alignment horizontal="left"/>
    </xf>
    <xf numFmtId="0" fontId="8" fillId="0" borderId="0" xfId="0" applyFont="1" applyAlignment="1">
      <alignment horizontal="left"/>
    </xf>
    <xf numFmtId="0" fontId="22" fillId="0" borderId="0" xfId="0" applyFont="1" applyAlignment="1">
      <alignment horizontal="left" indent="2"/>
    </xf>
    <xf numFmtId="0" fontId="19" fillId="0" borderId="14" xfId="0" applyFont="1" applyBorder="1"/>
    <xf numFmtId="0" fontId="45" fillId="0" borderId="1" xfId="0" applyFont="1" applyFill="1" applyBorder="1" applyAlignment="1">
      <alignment horizont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8" fillId="0" borderId="0" xfId="0" applyFont="1" applyBorder="1" applyAlignment="1">
      <alignment horizontal="left" vertical="center"/>
    </xf>
    <xf numFmtId="0" fontId="22" fillId="0" borderId="0" xfId="0" applyFont="1" applyBorder="1" applyAlignment="1">
      <alignment horizontal="left"/>
    </xf>
    <xf numFmtId="0" fontId="0" fillId="0" borderId="0" xfId="0" applyBorder="1" applyAlignment="1">
      <alignment horizontal="left"/>
    </xf>
    <xf numFmtId="0" fontId="4" fillId="0" borderId="0" xfId="0" applyFont="1" applyFill="1" applyBorder="1" applyAlignment="1">
      <alignment horizontal="left" vertical="center"/>
    </xf>
    <xf numFmtId="0" fontId="19" fillId="0" borderId="1" xfId="0" applyFont="1" applyBorder="1" applyAlignment="1">
      <alignment horizontal="center" vertical="center"/>
    </xf>
    <xf numFmtId="0" fontId="47" fillId="0" borderId="1" xfId="0" applyFont="1" applyBorder="1" applyAlignment="1">
      <alignment horizontal="center" vertical="center"/>
    </xf>
    <xf numFmtId="0" fontId="47" fillId="0" borderId="15" xfId="0" applyFont="1" applyBorder="1" applyAlignment="1">
      <alignment horizontal="center" vertical="center"/>
    </xf>
    <xf numFmtId="0" fontId="47" fillId="0" borderId="14" xfId="0" applyFont="1" applyBorder="1" applyAlignment="1">
      <alignment horizontal="center" vertical="center"/>
    </xf>
    <xf numFmtId="0" fontId="0" fillId="0" borderId="0" xfId="0" applyBorder="1" applyAlignment="1">
      <alignment horizontal="left" indent="6"/>
    </xf>
    <xf numFmtId="0" fontId="51" fillId="8" borderId="0" xfId="0" applyFont="1" applyFill="1" applyBorder="1" applyAlignment="1">
      <alignment horizontal="left" indent="3"/>
    </xf>
    <xf numFmtId="0" fontId="0" fillId="8" borderId="0" xfId="0" applyFill="1"/>
    <xf numFmtId="0" fontId="52" fillId="8" borderId="0" xfId="0" applyFont="1" applyFill="1" applyBorder="1" applyAlignment="1">
      <alignment horizontal="left" indent="3"/>
    </xf>
    <xf numFmtId="0" fontId="53" fillId="0" borderId="0" xfId="0" applyFont="1" applyAlignment="1">
      <alignment vertical="center"/>
    </xf>
    <xf numFmtId="0" fontId="0" fillId="0" borderId="0" xfId="0" applyFont="1" applyAlignment="1">
      <alignment vertical="center"/>
    </xf>
    <xf numFmtId="0" fontId="0" fillId="0" borderId="0" xfId="0" applyFont="1" applyAlignment="1">
      <alignment horizontal="left" vertical="center" indent="2"/>
    </xf>
    <xf numFmtId="0" fontId="16" fillId="0" borderId="0" xfId="0" applyFont="1"/>
    <xf numFmtId="0" fontId="54" fillId="0" borderId="0" xfId="0" applyFont="1"/>
    <xf numFmtId="0" fontId="55" fillId="0" borderId="0" xfId="0" applyFont="1" applyBorder="1"/>
    <xf numFmtId="0" fontId="55" fillId="0" borderId="0" xfId="0" applyFont="1" applyBorder="1" applyAlignment="1"/>
    <xf numFmtId="0" fontId="4" fillId="0" borderId="0" xfId="0" applyNumberFormat="1" applyFont="1" applyBorder="1" applyAlignment="1">
      <alignment vertical="center"/>
    </xf>
    <xf numFmtId="0" fontId="4" fillId="0" borderId="0" xfId="0" applyFont="1" applyBorder="1" applyAlignment="1">
      <alignment vertical="center"/>
    </xf>
    <xf numFmtId="0" fontId="4" fillId="0" borderId="0" xfId="0" applyFont="1" applyFill="1" applyBorder="1" applyAlignment="1">
      <alignment vertical="center"/>
    </xf>
    <xf numFmtId="0" fontId="0" fillId="0" borderId="35" xfId="0" applyBorder="1" applyAlignment="1">
      <alignment horizontal="center"/>
    </xf>
    <xf numFmtId="0" fontId="49" fillId="0" borderId="0" xfId="0" applyFont="1" applyFill="1" applyBorder="1" applyAlignment="1">
      <alignment vertical="center"/>
    </xf>
    <xf numFmtId="0" fontId="0" fillId="0" borderId="0" xfId="0" applyBorder="1" applyAlignment="1">
      <alignment vertical="center" wrapText="1"/>
    </xf>
    <xf numFmtId="0" fontId="0" fillId="0" borderId="0" xfId="0" applyBorder="1" applyAlignment="1">
      <alignment horizontal="left" vertical="center" indent="3"/>
    </xf>
    <xf numFmtId="0" fontId="56" fillId="0" borderId="0" xfId="0" applyFont="1" applyFill="1" applyBorder="1"/>
    <xf numFmtId="0" fontId="14" fillId="0" borderId="4" xfId="0" applyFont="1" applyBorder="1" applyAlignment="1">
      <alignment horizontal="center" vertical="center"/>
    </xf>
    <xf numFmtId="0" fontId="14" fillId="0" borderId="17" xfId="0" applyFont="1" applyBorder="1" applyAlignment="1">
      <alignment horizontal="center" vertical="center"/>
    </xf>
    <xf numFmtId="0" fontId="0" fillId="0" borderId="18" xfId="0" applyFont="1" applyBorder="1" applyAlignment="1">
      <alignment horizontal="center" vertical="center"/>
    </xf>
    <xf numFmtId="0" fontId="14" fillId="0" borderId="3" xfId="0" applyFont="1" applyBorder="1" applyAlignment="1">
      <alignment horizontal="center" vertical="center"/>
    </xf>
    <xf numFmtId="0" fontId="14" fillId="0" borderId="16" xfId="0" applyFont="1" applyBorder="1" applyAlignment="1">
      <alignment horizontal="center" vertical="center"/>
    </xf>
    <xf numFmtId="0" fontId="14" fillId="0" borderId="5" xfId="0" applyFont="1" applyBorder="1" applyAlignment="1">
      <alignment horizontal="center" vertical="center"/>
    </xf>
    <xf numFmtId="0" fontId="14" fillId="0" borderId="18" xfId="0" applyFont="1" applyBorder="1" applyAlignment="1">
      <alignment horizontal="center" vertical="center"/>
    </xf>
    <xf numFmtId="0" fontId="0" fillId="0" borderId="0" xfId="0"/>
    <xf numFmtId="0" fontId="22" fillId="0" borderId="0" xfId="0" applyFont="1"/>
    <xf numFmtId="0" fontId="0" fillId="0" borderId="0" xfId="0"/>
    <xf numFmtId="0" fontId="0" fillId="0" borderId="0" xfId="0" applyFont="1"/>
    <xf numFmtId="0" fontId="0" fillId="0" borderId="0" xfId="0" applyFont="1" applyBorder="1"/>
    <xf numFmtId="0" fontId="0" fillId="0" borderId="0" xfId="0" applyAlignment="1">
      <alignment horizontal="center" vertical="center"/>
    </xf>
    <xf numFmtId="0" fontId="22" fillId="0" borderId="0" xfId="0" applyFont="1" applyBorder="1"/>
    <xf numFmtId="0" fontId="0" fillId="0" borderId="13" xfId="0" applyBorder="1"/>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applyAlignment="1">
      <alignment horizontal="left"/>
    </xf>
    <xf numFmtId="0" fontId="0" fillId="0" borderId="13" xfId="0" applyBorder="1" applyAlignment="1">
      <alignment horizontal="left"/>
    </xf>
    <xf numFmtId="0" fontId="0" fillId="0" borderId="35" xfId="0" applyBorder="1" applyAlignment="1">
      <alignment horizontal="center" vertical="center"/>
    </xf>
    <xf numFmtId="0" fontId="22" fillId="0" borderId="0" xfId="0" applyFont="1"/>
    <xf numFmtId="0" fontId="23" fillId="0" borderId="0" xfId="0" applyFont="1" applyBorder="1" applyAlignment="1">
      <alignment vertical="center"/>
    </xf>
    <xf numFmtId="0" fontId="0" fillId="0" borderId="0" xfId="0" applyBorder="1"/>
    <xf numFmtId="0" fontId="24" fillId="0" borderId="0" xfId="0" applyFont="1" applyBorder="1" applyAlignment="1">
      <alignment vertical="center"/>
    </xf>
    <xf numFmtId="0" fontId="25" fillId="0" borderId="0" xfId="0" applyFont="1" applyBorder="1" applyAlignment="1">
      <alignment vertical="center"/>
    </xf>
    <xf numFmtId="0" fontId="24" fillId="0" borderId="0" xfId="0" applyFont="1" applyBorder="1" applyAlignment="1">
      <alignment horizontal="left" vertical="center"/>
    </xf>
    <xf numFmtId="0" fontId="25" fillId="0" borderId="0" xfId="0" applyFont="1" applyBorder="1" applyAlignment="1">
      <alignment horizontal="left" vertical="center"/>
    </xf>
    <xf numFmtId="0" fontId="0" fillId="0" borderId="0" xfId="0" applyBorder="1" applyAlignment="1">
      <alignment horizontal="center" vertical="center"/>
    </xf>
    <xf numFmtId="0" fontId="0" fillId="0" borderId="0" xfId="0" applyBorder="1" applyAlignment="1">
      <alignment horizontal="left"/>
    </xf>
    <xf numFmtId="0" fontId="0" fillId="0" borderId="0" xfId="0" applyFont="1" applyBorder="1" applyAlignment="1">
      <alignment vertical="center"/>
    </xf>
    <xf numFmtId="0" fontId="23" fillId="0" borderId="0" xfId="0" applyFont="1" applyBorder="1"/>
    <xf numFmtId="0" fontId="35" fillId="0" borderId="0" xfId="0" applyFont="1" applyBorder="1" applyAlignment="1">
      <alignment horizontal="left" vertical="center"/>
    </xf>
    <xf numFmtId="0" fontId="8" fillId="0" borderId="0" xfId="0" applyFont="1" applyBorder="1" applyAlignment="1">
      <alignment horizontal="left" vertical="center"/>
    </xf>
    <xf numFmtId="0" fontId="0" fillId="0" borderId="35" xfId="0" applyBorder="1"/>
    <xf numFmtId="0" fontId="16" fillId="0" borderId="11" xfId="0" applyFont="1" applyBorder="1"/>
    <xf numFmtId="0" fontId="4" fillId="0" borderId="0" xfId="0" applyFont="1" applyBorder="1" applyAlignment="1">
      <alignment horizontal="left" vertical="center"/>
    </xf>
    <xf numFmtId="0" fontId="0" fillId="0" borderId="0" xfId="0" applyFill="1" applyBorder="1"/>
    <xf numFmtId="0" fontId="49" fillId="0" borderId="0" xfId="0" applyFont="1" applyBorder="1" applyAlignment="1">
      <alignment horizontal="left" vertical="center"/>
    </xf>
    <xf numFmtId="0" fontId="22" fillId="0" borderId="0" xfId="0" applyFont="1" applyFill="1" applyBorder="1"/>
    <xf numFmtId="0" fontId="32" fillId="0" borderId="0" xfId="0" applyFont="1" applyBorder="1" applyAlignment="1"/>
    <xf numFmtId="0" fontId="32" fillId="0" borderId="0" xfId="0" applyFont="1" applyBorder="1"/>
    <xf numFmtId="0" fontId="19" fillId="0" borderId="0" xfId="0" applyFont="1" applyBorder="1" applyAlignment="1">
      <alignment horizontal="left" vertical="center"/>
    </xf>
    <xf numFmtId="0" fontId="19" fillId="0" borderId="0" xfId="0" applyFont="1" applyBorder="1" applyAlignment="1">
      <alignment vertical="center"/>
    </xf>
    <xf numFmtId="0" fontId="22" fillId="0" borderId="0" xfId="0" applyFont="1" applyAlignment="1">
      <alignment horizontal="left"/>
    </xf>
    <xf numFmtId="0" fontId="48" fillId="0" borderId="0" xfId="0" applyFont="1" applyBorder="1"/>
    <xf numFmtId="0" fontId="0" fillId="0" borderId="0" xfId="0" applyFill="1" applyBorder="1" applyAlignment="1">
      <alignment horizontal="left"/>
    </xf>
    <xf numFmtId="0" fontId="22" fillId="0" borderId="0" xfId="0" applyFont="1" applyAlignment="1">
      <alignment horizontal="left" indent="1"/>
    </xf>
    <xf numFmtId="0" fontId="22" fillId="0" borderId="0" xfId="0" applyFont="1" applyAlignment="1">
      <alignment horizontal="left" indent="2"/>
    </xf>
    <xf numFmtId="0" fontId="19" fillId="0" borderId="46" xfId="0" applyFont="1" applyBorder="1" applyAlignment="1">
      <alignment vertical="center"/>
    </xf>
    <xf numFmtId="0" fontId="22" fillId="0" borderId="0" xfId="0" applyFont="1" applyFill="1" applyBorder="1" applyAlignment="1">
      <alignment horizontal="left"/>
    </xf>
    <xf numFmtId="0" fontId="48" fillId="0" borderId="0" xfId="0" applyFont="1" applyBorder="1" applyAlignment="1">
      <alignment horizontal="left" vertical="center"/>
    </xf>
    <xf numFmtId="0" fontId="22" fillId="0" borderId="0" xfId="0" applyFont="1" applyBorder="1" applyAlignment="1">
      <alignment vertical="center"/>
    </xf>
    <xf numFmtId="0" fontId="35" fillId="0" borderId="0" xfId="0" applyFont="1" applyBorder="1" applyAlignment="1">
      <alignment vertical="center"/>
    </xf>
    <xf numFmtId="0" fontId="8" fillId="0" borderId="51" xfId="0" applyFont="1" applyBorder="1" applyAlignment="1">
      <alignment horizontal="left" vertical="center"/>
    </xf>
    <xf numFmtId="0" fontId="24" fillId="0" borderId="0" xfId="0" applyFont="1" applyFill="1" applyBorder="1" applyAlignment="1">
      <alignment horizontal="left" vertical="center"/>
    </xf>
    <xf numFmtId="0" fontId="45" fillId="0" borderId="0" xfId="0" applyFont="1" applyBorder="1" applyAlignment="1">
      <alignment horizontal="left"/>
    </xf>
    <xf numFmtId="0" fontId="57" fillId="0" borderId="0" xfId="0" applyFont="1" applyBorder="1" applyAlignment="1">
      <alignment vertical="center"/>
    </xf>
    <xf numFmtId="0" fontId="28" fillId="0" borderId="0" xfId="0" applyFont="1" applyBorder="1" applyAlignment="1">
      <alignment horizontal="left" vertical="center"/>
    </xf>
    <xf numFmtId="0" fontId="0" fillId="0" borderId="0" xfId="0" applyFont="1" applyFill="1" applyBorder="1" applyAlignment="1"/>
    <xf numFmtId="0" fontId="0" fillId="0" borderId="18" xfId="0" applyFont="1" applyBorder="1" applyAlignment="1">
      <alignment horizontal="center" vertical="center"/>
    </xf>
    <xf numFmtId="0" fontId="19" fillId="0" borderId="33" xfId="0" applyFont="1" applyBorder="1" applyAlignment="1">
      <alignment horizontal="left" vertical="center"/>
    </xf>
    <xf numFmtId="0" fontId="8" fillId="0" borderId="11" xfId="0" applyFont="1" applyFill="1" applyBorder="1" applyAlignment="1">
      <alignment horizontal="left" vertical="center"/>
    </xf>
    <xf numFmtId="0" fontId="8" fillId="0" borderId="12" xfId="0" applyFont="1" applyFill="1" applyBorder="1" applyAlignment="1">
      <alignment horizontal="left" vertical="center"/>
    </xf>
    <xf numFmtId="0" fontId="8" fillId="0" borderId="13" xfId="0" applyFont="1" applyFill="1" applyBorder="1" applyAlignment="1">
      <alignment horizontal="left" vertical="center"/>
    </xf>
    <xf numFmtId="0" fontId="19" fillId="0" borderId="0" xfId="0" applyFont="1" applyFill="1" applyBorder="1" applyAlignment="1">
      <alignment horizontal="left" vertical="center"/>
    </xf>
    <xf numFmtId="0" fontId="0" fillId="0" borderId="33" xfId="0" applyBorder="1"/>
    <xf numFmtId="0" fontId="49" fillId="0" borderId="0" xfId="0" applyFont="1" applyFill="1"/>
    <xf numFmtId="0" fontId="8" fillId="0" borderId="51" xfId="0" applyFont="1" applyFill="1" applyBorder="1" applyAlignment="1">
      <alignment horizontal="left" vertical="center"/>
    </xf>
    <xf numFmtId="0" fontId="49" fillId="0" borderId="0" xfId="0" applyFont="1" applyFill="1" applyBorder="1"/>
    <xf numFmtId="0" fontId="58" fillId="0" borderId="0" xfId="0" applyFont="1"/>
    <xf numFmtId="0" fontId="0" fillId="0" borderId="12" xfId="0" applyBorder="1" applyAlignment="1">
      <alignment horizontal="center" vertical="center"/>
    </xf>
    <xf numFmtId="0" fontId="0" fillId="0" borderId="0" xfId="0" applyFill="1" applyBorder="1" applyAlignment="1"/>
    <xf numFmtId="0" fontId="23" fillId="0" borderId="0" xfId="0" applyFont="1" applyFill="1" applyBorder="1"/>
    <xf numFmtId="0" fontId="0" fillId="0" borderId="0" xfId="0" applyFont="1" applyFill="1" applyBorder="1" applyAlignment="1">
      <alignment vertical="center" wrapText="1"/>
    </xf>
    <xf numFmtId="0" fontId="0" fillId="0" borderId="0" xfId="0" applyFont="1" applyFill="1" applyBorder="1" applyAlignment="1">
      <alignment horizontal="left" vertical="center" wrapText="1"/>
    </xf>
    <xf numFmtId="0" fontId="0" fillId="0" borderId="0" xfId="0" applyFill="1" applyBorder="1" applyAlignment="1">
      <alignment horizontal="center"/>
    </xf>
    <xf numFmtId="0" fontId="0" fillId="0" borderId="0" xfId="0" applyFont="1"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center" vertical="top"/>
    </xf>
    <xf numFmtId="0" fontId="0" fillId="0" borderId="0" xfId="0" applyFill="1" applyBorder="1" applyAlignment="1">
      <alignment horizontal="left" vertical="center" wrapText="1"/>
    </xf>
    <xf numFmtId="0" fontId="0" fillId="0" borderId="0" xfId="0" applyFill="1" applyBorder="1" applyAlignment="1">
      <alignment vertical="center" wrapText="1"/>
    </xf>
    <xf numFmtId="0" fontId="0" fillId="0" borderId="0" xfId="0" applyFill="1" applyBorder="1" applyAlignment="1">
      <alignment horizontal="center" vertical="center"/>
    </xf>
    <xf numFmtId="0" fontId="7" fillId="0" borderId="36" xfId="0" applyFont="1" applyFill="1" applyBorder="1" applyAlignment="1">
      <alignment horizontal="center" vertical="center"/>
    </xf>
    <xf numFmtId="0" fontId="7" fillId="0" borderId="2" xfId="0" applyFont="1" applyFill="1" applyBorder="1" applyAlignment="1">
      <alignment horizontal="center" vertical="center"/>
    </xf>
    <xf numFmtId="0" fontId="7" fillId="0" borderId="37" xfId="0" applyFont="1" applyFill="1" applyBorder="1" applyAlignment="1">
      <alignment horizontal="center" vertical="center" wrapText="1"/>
    </xf>
    <xf numFmtId="0" fontId="7" fillId="0" borderId="37" xfId="0" applyFont="1" applyFill="1" applyBorder="1" applyAlignment="1">
      <alignment horizontal="center" vertical="center"/>
    </xf>
    <xf numFmtId="0" fontId="0" fillId="0" borderId="37" xfId="0" applyFont="1" applyFill="1" applyBorder="1"/>
    <xf numFmtId="0" fontId="19" fillId="0" borderId="36" xfId="0" applyFont="1" applyBorder="1"/>
    <xf numFmtId="0" fontId="19" fillId="0" borderId="1" xfId="0" applyFont="1" applyFill="1" applyBorder="1" applyAlignment="1">
      <alignment horizontal="center"/>
    </xf>
    <xf numFmtId="0" fontId="19" fillId="0" borderId="1" xfId="0" applyFont="1" applyBorder="1" applyAlignment="1">
      <alignment horizontal="center"/>
    </xf>
    <xf numFmtId="0" fontId="19" fillId="0" borderId="15" xfId="0" applyFont="1" applyBorder="1" applyAlignment="1">
      <alignment horizontal="center" vertical="center"/>
    </xf>
    <xf numFmtId="0" fontId="0" fillId="0" borderId="38" xfId="0" applyBorder="1"/>
    <xf numFmtId="0" fontId="0" fillId="0" borderId="33" xfId="0" applyBorder="1" applyAlignment="1">
      <alignment horizontal="left"/>
    </xf>
    <xf numFmtId="0" fontId="59" fillId="0" borderId="0" xfId="0" applyFont="1" applyBorder="1" applyAlignment="1">
      <alignment vertical="center"/>
    </xf>
    <xf numFmtId="0" fontId="47" fillId="0" borderId="4" xfId="0" applyFont="1" applyBorder="1" applyAlignment="1">
      <alignment horizontal="center" vertical="center"/>
    </xf>
    <xf numFmtId="0" fontId="19" fillId="0" borderId="20" xfId="0" applyFont="1" applyBorder="1" applyAlignment="1">
      <alignment horizontal="center" vertical="center"/>
    </xf>
    <xf numFmtId="0" fontId="45" fillId="0" borderId="14" xfId="0" applyFont="1" applyBorder="1" applyAlignment="1">
      <alignment horizontal="left" vertical="center"/>
    </xf>
    <xf numFmtId="0" fontId="45" fillId="0" borderId="6" xfId="0" applyFont="1" applyBorder="1" applyAlignment="1">
      <alignment horizontal="center" vertical="center"/>
    </xf>
    <xf numFmtId="0" fontId="19" fillId="0" borderId="1" xfId="0" applyFont="1" applyFill="1" applyBorder="1" applyAlignment="1">
      <alignment horizontal="center" vertical="center"/>
    </xf>
    <xf numFmtId="0" fontId="47" fillId="0" borderId="1" xfId="0" applyFont="1" applyFill="1" applyBorder="1" applyAlignment="1">
      <alignment horizontal="center" vertical="center"/>
    </xf>
    <xf numFmtId="0" fontId="19" fillId="0" borderId="36" xfId="0" applyFont="1" applyFill="1" applyBorder="1" applyAlignment="1">
      <alignment horizontal="center" vertical="center"/>
    </xf>
    <xf numFmtId="0" fontId="19" fillId="0" borderId="2" xfId="0" applyFont="1" applyFill="1" applyBorder="1" applyAlignment="1">
      <alignment horizontal="center" vertical="center"/>
    </xf>
    <xf numFmtId="0" fontId="4" fillId="0" borderId="3" xfId="0" applyFont="1" applyBorder="1"/>
    <xf numFmtId="0" fontId="4" fillId="0" borderId="4" xfId="0" applyFont="1" applyFill="1" applyBorder="1" applyAlignment="1">
      <alignment horizontal="center"/>
    </xf>
    <xf numFmtId="0" fontId="4" fillId="0" borderId="4" xfId="0" applyFont="1" applyBorder="1" applyAlignment="1">
      <alignment horizontal="center"/>
    </xf>
    <xf numFmtId="0" fontId="4" fillId="0" borderId="14" xfId="0" applyFont="1" applyBorder="1" applyAlignment="1">
      <alignment horizontal="left" vertical="center"/>
    </xf>
    <xf numFmtId="0" fontId="4" fillId="0" borderId="1" xfId="0" applyFont="1" applyFill="1" applyBorder="1" applyAlignment="1">
      <alignment horizontal="center"/>
    </xf>
    <xf numFmtId="0" fontId="4" fillId="0" borderId="1" xfId="0" applyFont="1" applyBorder="1" applyAlignment="1">
      <alignment horizontal="center"/>
    </xf>
    <xf numFmtId="0" fontId="4" fillId="0" borderId="16" xfId="0" applyFont="1" applyBorder="1"/>
    <xf numFmtId="0" fontId="4" fillId="0" borderId="17" xfId="0" applyFont="1" applyFill="1" applyBorder="1" applyAlignment="1">
      <alignment horizontal="center"/>
    </xf>
    <xf numFmtId="0" fontId="4" fillId="0" borderId="17" xfId="0" applyFont="1" applyBorder="1" applyAlignment="1">
      <alignment horizontal="center"/>
    </xf>
    <xf numFmtId="0" fontId="4" fillId="0" borderId="32" xfId="0" applyFont="1" applyBorder="1" applyAlignment="1">
      <alignment vertical="center"/>
    </xf>
    <xf numFmtId="0" fontId="4" fillId="0" borderId="10" xfId="0" applyFont="1" applyBorder="1" applyAlignment="1">
      <alignment horizontal="center"/>
    </xf>
    <xf numFmtId="0" fontId="4" fillId="0" borderId="10" xfId="0" applyFont="1" applyBorder="1" applyAlignment="1">
      <alignment horizontal="center" vertical="center"/>
    </xf>
    <xf numFmtId="0" fontId="4" fillId="0" borderId="30" xfId="0" applyFont="1" applyBorder="1" applyAlignment="1">
      <alignment horizontal="center" vertical="center"/>
    </xf>
    <xf numFmtId="0" fontId="4" fillId="0" borderId="0" xfId="0" applyFont="1"/>
    <xf numFmtId="0" fontId="4" fillId="0" borderId="0" xfId="0" applyFont="1" applyFill="1" applyAlignment="1">
      <alignment horizontal="center"/>
    </xf>
    <xf numFmtId="0" fontId="4" fillId="0" borderId="0" xfId="0" applyFont="1" applyAlignment="1">
      <alignment horizontal="center"/>
    </xf>
    <xf numFmtId="0" fontId="4" fillId="0" borderId="0" xfId="0" applyFont="1" applyAlignment="1">
      <alignment horizontal="center" vertical="center"/>
    </xf>
    <xf numFmtId="0" fontId="4" fillId="0" borderId="14" xfId="0" applyFont="1" applyBorder="1"/>
    <xf numFmtId="0" fontId="4" fillId="0" borderId="16" xfId="0" applyFont="1" applyBorder="1" applyAlignment="1">
      <alignment vertical="center"/>
    </xf>
    <xf numFmtId="0" fontId="4" fillId="0" borderId="17" xfId="0" applyFont="1" applyBorder="1" applyAlignment="1">
      <alignment horizontal="center" vertical="center"/>
    </xf>
    <xf numFmtId="0" fontId="4" fillId="0" borderId="3" xfId="0" applyFont="1" applyBorder="1" applyAlignment="1">
      <alignment horizontal="left" vertical="center"/>
    </xf>
    <xf numFmtId="0" fontId="4" fillId="0" borderId="6" xfId="0" applyFont="1" applyBorder="1" applyAlignment="1">
      <alignment horizontal="center" vertical="center"/>
    </xf>
    <xf numFmtId="0" fontId="4" fillId="0" borderId="16" xfId="0" applyFont="1" applyFill="1" applyBorder="1"/>
    <xf numFmtId="0" fontId="4" fillId="0" borderId="21"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7" xfId="0" applyFont="1" applyBorder="1" applyAlignment="1">
      <alignment horizontal="left" vertical="center"/>
    </xf>
    <xf numFmtId="0" fontId="4" fillId="0" borderId="8" xfId="0" applyFont="1" applyFill="1" applyBorder="1" applyAlignment="1">
      <alignment horizontal="center"/>
    </xf>
    <xf numFmtId="0" fontId="4" fillId="0" borderId="8" xfId="0" applyFont="1" applyBorder="1" applyAlignment="1">
      <alignment horizontal="center"/>
    </xf>
    <xf numFmtId="0" fontId="4" fillId="0" borderId="39" xfId="0" applyFont="1" applyBorder="1" applyAlignment="1">
      <alignment horizontal="center" vertical="center"/>
    </xf>
    <xf numFmtId="0" fontId="4" fillId="0" borderId="40" xfId="0" applyFont="1" applyBorder="1" applyAlignment="1">
      <alignment horizontal="left" vertical="center"/>
    </xf>
    <xf numFmtId="0" fontId="4" fillId="0" borderId="41" xfId="0" applyFont="1" applyFill="1" applyBorder="1" applyAlignment="1">
      <alignment horizontal="center"/>
    </xf>
    <xf numFmtId="0" fontId="4" fillId="0" borderId="41" xfId="0" applyFont="1" applyBorder="1" applyAlignment="1">
      <alignment horizontal="center"/>
    </xf>
    <xf numFmtId="0" fontId="4" fillId="0" borderId="36" xfId="0" applyFont="1" applyBorder="1"/>
    <xf numFmtId="0" fontId="4" fillId="0" borderId="2" xfId="0" applyFont="1" applyFill="1" applyBorder="1" applyAlignment="1">
      <alignment horizontal="center"/>
    </xf>
    <xf numFmtId="0" fontId="4" fillId="0" borderId="2" xfId="0" applyFont="1" applyBorder="1" applyAlignment="1">
      <alignment horizontal="center"/>
    </xf>
    <xf numFmtId="0" fontId="4" fillId="0" borderId="7" xfId="0" applyFont="1" applyBorder="1"/>
    <xf numFmtId="0" fontId="4" fillId="0" borderId="9" xfId="0" applyFont="1" applyBorder="1" applyAlignment="1">
      <alignment horizontal="center" vertical="center"/>
    </xf>
    <xf numFmtId="0" fontId="4" fillId="0" borderId="16" xfId="0" applyFont="1" applyBorder="1" applyAlignment="1">
      <alignment horizontal="left"/>
    </xf>
    <xf numFmtId="0" fontId="4" fillId="0" borderId="7" xfId="0" applyFont="1" applyFill="1" applyBorder="1"/>
    <xf numFmtId="0" fontId="4" fillId="0" borderId="32" xfId="0" applyFont="1" applyBorder="1"/>
    <xf numFmtId="0" fontId="4" fillId="0" borderId="10" xfId="0" applyFont="1" applyFill="1" applyBorder="1" applyAlignment="1">
      <alignment horizontal="center"/>
    </xf>
    <xf numFmtId="0" fontId="4" fillId="0" borderId="3" xfId="0" applyFont="1" applyBorder="1" applyAlignment="1">
      <alignment horizontal="left"/>
    </xf>
    <xf numFmtId="0" fontId="23" fillId="0" borderId="50" xfId="0" applyFont="1" applyBorder="1" applyAlignment="1">
      <alignment vertical="center"/>
    </xf>
    <xf numFmtId="0" fontId="24" fillId="0" borderId="50" xfId="0" applyFont="1" applyBorder="1" applyAlignment="1">
      <alignment vertical="center"/>
    </xf>
    <xf numFmtId="0" fontId="19" fillId="0" borderId="14" xfId="0" applyFont="1" applyBorder="1" applyAlignment="1">
      <alignment horizontal="left" vertical="center"/>
    </xf>
    <xf numFmtId="0" fontId="0" fillId="0" borderId="0" xfId="0"/>
    <xf numFmtId="0" fontId="0" fillId="0" borderId="0" xfId="0" applyFont="1" applyBorder="1"/>
    <xf numFmtId="0" fontId="0" fillId="0" borderId="0" xfId="0" applyAlignment="1">
      <alignment horizontal="center" vertical="center"/>
    </xf>
    <xf numFmtId="0" fontId="22" fillId="0" borderId="0" xfId="0" applyFont="1" applyBorder="1"/>
    <xf numFmtId="0" fontId="0" fillId="0" borderId="13" xfId="0" applyBorder="1"/>
    <xf numFmtId="0" fontId="0" fillId="0" borderId="0" xfId="0" applyAlignment="1">
      <alignment horizontal="left"/>
    </xf>
    <xf numFmtId="0" fontId="0" fillId="0" borderId="35" xfId="0" applyBorder="1" applyAlignment="1">
      <alignment horizontal="center" vertical="center"/>
    </xf>
    <xf numFmtId="0" fontId="22" fillId="0" borderId="0" xfId="0" applyFont="1"/>
    <xf numFmtId="0" fontId="0" fillId="0" borderId="0" xfId="0" applyBorder="1"/>
    <xf numFmtId="0" fontId="0" fillId="0" borderId="0" xfId="0" applyAlignment="1">
      <alignment horizontal="center"/>
    </xf>
    <xf numFmtId="0" fontId="0" fillId="0" borderId="0" xfId="0" applyBorder="1" applyAlignment="1">
      <alignment horizontal="center" vertical="center"/>
    </xf>
    <xf numFmtId="0" fontId="0" fillId="0" borderId="0" xfId="0" applyBorder="1" applyAlignment="1">
      <alignment horizontal="left" indent="3"/>
    </xf>
    <xf numFmtId="0" fontId="0" fillId="0" borderId="50" xfId="0" applyBorder="1"/>
    <xf numFmtId="0" fontId="0" fillId="0" borderId="0" xfId="0" applyBorder="1" applyAlignment="1">
      <alignment horizontal="left" indent="2"/>
    </xf>
    <xf numFmtId="0" fontId="22" fillId="0" borderId="0" xfId="0" applyFont="1" applyBorder="1" applyAlignment="1">
      <alignment horizontal="left"/>
    </xf>
    <xf numFmtId="0" fontId="8" fillId="0" borderId="0" xfId="0" applyFont="1" applyBorder="1" applyAlignment="1">
      <alignment horizontal="left" vertical="center"/>
    </xf>
    <xf numFmtId="0" fontId="0" fillId="0" borderId="0" xfId="0" applyAlignment="1">
      <alignment vertical="center"/>
    </xf>
    <xf numFmtId="0" fontId="16" fillId="0" borderId="11" xfId="0" applyFont="1" applyBorder="1"/>
    <xf numFmtId="0" fontId="0" fillId="0" borderId="13" xfId="0" applyBorder="1" applyAlignment="1">
      <alignment horizontal="center"/>
    </xf>
    <xf numFmtId="0" fontId="16" fillId="0" borderId="0" xfId="0" applyFont="1" applyBorder="1"/>
    <xf numFmtId="0" fontId="0" fillId="0" borderId="11" xfId="0" applyBorder="1" applyAlignment="1">
      <alignment horizontal="center"/>
    </xf>
    <xf numFmtId="0" fontId="22" fillId="0" borderId="0" xfId="0" applyFont="1" applyBorder="1" applyAlignment="1">
      <alignment horizontal="left" indent="1"/>
    </xf>
    <xf numFmtId="0" fontId="27" fillId="0" borderId="50" xfId="0" applyFont="1" applyBorder="1" applyAlignment="1">
      <alignment vertical="center"/>
    </xf>
    <xf numFmtId="0" fontId="19" fillId="0" borderId="16" xfId="0" applyFont="1" applyFill="1" applyBorder="1"/>
    <xf numFmtId="0" fontId="47" fillId="0" borderId="17" xfId="0" applyFont="1" applyFill="1" applyBorder="1" applyAlignment="1">
      <alignment horizontal="center" vertical="center"/>
    </xf>
    <xf numFmtId="0" fontId="0" fillId="0" borderId="0" xfId="0"/>
    <xf numFmtId="0" fontId="0" fillId="0" borderId="0" xfId="0" applyFont="1" applyBorder="1"/>
    <xf numFmtId="0" fontId="7" fillId="0" borderId="8" xfId="0" applyFont="1" applyBorder="1" applyAlignment="1">
      <alignment horizontal="center" vertical="center"/>
    </xf>
    <xf numFmtId="0" fontId="0" fillId="0" borderId="0" xfId="0" applyAlignment="1">
      <alignment horizontal="center" vertical="center"/>
    </xf>
    <xf numFmtId="0" fontId="22" fillId="0" borderId="0" xfId="0" applyFont="1" applyBorder="1"/>
    <xf numFmtId="0" fontId="0" fillId="0" borderId="13" xfId="0" applyBorder="1"/>
    <xf numFmtId="0" fontId="8" fillId="0" borderId="11" xfId="0" applyFont="1" applyBorder="1" applyAlignment="1">
      <alignment horizontal="left" vertical="center"/>
    </xf>
    <xf numFmtId="0" fontId="8" fillId="0" borderId="12" xfId="0" applyFont="1" applyBorder="1" applyAlignment="1">
      <alignment horizontal="left" vertical="center"/>
    </xf>
    <xf numFmtId="0" fontId="0" fillId="0" borderId="12" xfId="0" applyBorder="1" applyAlignment="1">
      <alignment horizontal="left"/>
    </xf>
    <xf numFmtId="0" fontId="0" fillId="0" borderId="35" xfId="0" applyBorder="1" applyAlignment="1">
      <alignment horizontal="center" vertical="center"/>
    </xf>
    <xf numFmtId="0" fontId="22" fillId="0" borderId="0" xfId="0" applyFont="1"/>
    <xf numFmtId="0" fontId="0" fillId="0" borderId="0" xfId="0" applyBorder="1"/>
    <xf numFmtId="0" fontId="0" fillId="0" borderId="0" xfId="0" applyBorder="1" applyAlignment="1">
      <alignment horizontal="left"/>
    </xf>
    <xf numFmtId="0" fontId="0" fillId="0" borderId="0" xfId="0" applyBorder="1" applyAlignment="1">
      <alignment horizontal="left" indent="3"/>
    </xf>
    <xf numFmtId="0" fontId="0" fillId="0" borderId="50" xfId="0" applyBorder="1"/>
    <xf numFmtId="0" fontId="0" fillId="0" borderId="50" xfId="0" applyBorder="1" applyAlignment="1">
      <alignment horizontal="left"/>
    </xf>
    <xf numFmtId="0" fontId="0" fillId="0" borderId="35" xfId="0" applyBorder="1"/>
    <xf numFmtId="0" fontId="16" fillId="0" borderId="11" xfId="0" applyFont="1" applyBorder="1"/>
    <xf numFmtId="0" fontId="19" fillId="0" borderId="32" xfId="0" applyFont="1" applyBorder="1" applyAlignment="1">
      <alignment vertical="center"/>
    </xf>
    <xf numFmtId="0" fontId="19" fillId="0" borderId="8" xfId="0" applyFont="1" applyBorder="1" applyAlignment="1">
      <alignment horizontal="center" vertical="center"/>
    </xf>
    <xf numFmtId="0" fontId="0" fillId="0" borderId="0" xfId="0"/>
    <xf numFmtId="0" fontId="0" fillId="0" borderId="0" xfId="0" applyAlignment="1">
      <alignment horizontal="center" vertical="center"/>
    </xf>
    <xf numFmtId="0" fontId="0" fillId="0" borderId="13" xfId="0" applyBorder="1"/>
    <xf numFmtId="0" fontId="8" fillId="0" borderId="11" xfId="0" applyFont="1" applyBorder="1" applyAlignment="1">
      <alignment horizontal="left" vertical="center"/>
    </xf>
    <xf numFmtId="0" fontId="8" fillId="0" borderId="12" xfId="0" applyFont="1" applyBorder="1" applyAlignment="1">
      <alignment horizontal="left" vertical="center"/>
    </xf>
    <xf numFmtId="0" fontId="0" fillId="0" borderId="12" xfId="0" applyBorder="1" applyAlignment="1">
      <alignment horizontal="left"/>
    </xf>
    <xf numFmtId="0" fontId="0" fillId="0" borderId="35" xfId="0" applyBorder="1" applyAlignment="1">
      <alignment horizontal="center" vertical="center"/>
    </xf>
    <xf numFmtId="0" fontId="22" fillId="0" borderId="0" xfId="0" applyFont="1"/>
    <xf numFmtId="0" fontId="0" fillId="0" borderId="0" xfId="0" applyBorder="1"/>
    <xf numFmtId="0" fontId="0" fillId="0" borderId="0" xfId="0" applyBorder="1" applyAlignment="1">
      <alignment horizontal="center" vertical="center"/>
    </xf>
    <xf numFmtId="0" fontId="8" fillId="0" borderId="0" xfId="0" applyFont="1" applyBorder="1" applyAlignment="1">
      <alignment horizontal="left" vertical="center"/>
    </xf>
    <xf numFmtId="0" fontId="0" fillId="0" borderId="35" xfId="0" applyBorder="1"/>
    <xf numFmtId="0" fontId="16" fillId="0" borderId="11" xfId="0" applyFont="1" applyBorder="1"/>
    <xf numFmtId="0" fontId="16" fillId="0" borderId="0" xfId="0" applyFont="1" applyBorder="1"/>
    <xf numFmtId="0" fontId="0" fillId="0" borderId="0" xfId="0"/>
    <xf numFmtId="0" fontId="0" fillId="0" borderId="0" xfId="0" applyFont="1" applyBorder="1"/>
    <xf numFmtId="0" fontId="20" fillId="0" borderId="8" xfId="0" applyFont="1" applyBorder="1" applyAlignment="1">
      <alignment horizontal="center" vertical="center"/>
    </xf>
    <xf numFmtId="0" fontId="20" fillId="0" borderId="7" xfId="0" applyFont="1" applyBorder="1" applyAlignment="1">
      <alignment horizontal="center" vertical="center"/>
    </xf>
    <xf numFmtId="0" fontId="0" fillId="0" borderId="0" xfId="0" applyAlignment="1">
      <alignment horizontal="center" vertical="center"/>
    </xf>
    <xf numFmtId="0" fontId="22" fillId="0" borderId="0" xfId="0" applyFont="1" applyBorder="1"/>
    <xf numFmtId="0" fontId="0" fillId="0" borderId="13" xfId="0" applyBorder="1"/>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12" xfId="0" applyBorder="1" applyAlignment="1">
      <alignment horizontal="left"/>
    </xf>
    <xf numFmtId="0" fontId="0" fillId="0" borderId="13" xfId="0" applyBorder="1" applyAlignment="1">
      <alignment horizontal="left"/>
    </xf>
    <xf numFmtId="0" fontId="0" fillId="0" borderId="35" xfId="0" applyBorder="1" applyAlignment="1">
      <alignment horizontal="center" vertical="center"/>
    </xf>
    <xf numFmtId="0" fontId="22" fillId="0" borderId="0" xfId="0" applyFont="1"/>
    <xf numFmtId="0" fontId="0" fillId="0" borderId="0" xfId="0" applyBorder="1"/>
    <xf numFmtId="0" fontId="0" fillId="0" borderId="0" xfId="0" applyBorder="1" applyAlignment="1">
      <alignment horizontal="left"/>
    </xf>
    <xf numFmtId="0" fontId="0" fillId="0" borderId="0" xfId="0" applyFont="1" applyBorder="1" applyAlignment="1">
      <alignment vertical="center"/>
    </xf>
    <xf numFmtId="0" fontId="22" fillId="0" borderId="0" xfId="0" applyFont="1" applyBorder="1" applyAlignment="1"/>
    <xf numFmtId="0" fontId="0" fillId="0" borderId="0" xfId="0" applyFont="1" applyBorder="1" applyAlignment="1">
      <alignment horizontal="left"/>
    </xf>
    <xf numFmtId="0" fontId="0" fillId="0" borderId="0" xfId="0" applyFont="1" applyBorder="1" applyAlignment="1"/>
    <xf numFmtId="0" fontId="0" fillId="0" borderId="0" xfId="0" applyBorder="1" applyAlignment="1">
      <alignment horizontal="left" indent="3"/>
    </xf>
    <xf numFmtId="0" fontId="22" fillId="0" borderId="49" xfId="0" applyFont="1" applyBorder="1"/>
    <xf numFmtId="0" fontId="0" fillId="0" borderId="49" xfId="0" applyBorder="1"/>
    <xf numFmtId="0" fontId="0" fillId="0" borderId="49" xfId="0" applyBorder="1" applyAlignment="1">
      <alignment horizontal="left" indent="3"/>
    </xf>
    <xf numFmtId="0" fontId="0" fillId="0" borderId="50" xfId="0" applyBorder="1"/>
    <xf numFmtId="0" fontId="22" fillId="5" borderId="49" xfId="0" applyFont="1" applyFill="1" applyBorder="1"/>
    <xf numFmtId="0" fontId="22" fillId="0" borderId="49" xfId="0" applyFont="1" applyBorder="1" applyAlignment="1">
      <alignment horizontal="left"/>
    </xf>
    <xf numFmtId="0" fontId="0" fillId="0" borderId="50" xfId="0" applyBorder="1" applyAlignment="1">
      <alignment horizontal="left"/>
    </xf>
    <xf numFmtId="0" fontId="8" fillId="0" borderId="0" xfId="0" applyFont="1" applyBorder="1" applyAlignment="1">
      <alignment horizontal="left" vertical="center"/>
    </xf>
    <xf numFmtId="0" fontId="0" fillId="0" borderId="51" xfId="0" applyBorder="1"/>
    <xf numFmtId="0" fontId="0" fillId="0" borderId="11" xfId="0" applyBorder="1" applyAlignment="1">
      <alignment horizontal="center" vertical="center"/>
    </xf>
    <xf numFmtId="0" fontId="0" fillId="0" borderId="35" xfId="0" applyBorder="1"/>
    <xf numFmtId="0" fontId="16" fillId="0" borderId="11" xfId="0" applyFont="1" applyBorder="1"/>
    <xf numFmtId="0" fontId="0" fillId="0" borderId="0" xfId="0" applyFill="1"/>
    <xf numFmtId="0" fontId="22" fillId="0" borderId="51" xfId="0" applyFont="1" applyBorder="1" applyAlignment="1"/>
    <xf numFmtId="0" fontId="0" fillId="0" borderId="51" xfId="0" applyFont="1" applyBorder="1" applyAlignment="1">
      <alignment horizontal="left" vertical="center" indent="3"/>
    </xf>
    <xf numFmtId="0" fontId="0" fillId="0" borderId="51" xfId="0" applyBorder="1" applyAlignment="1">
      <alignment horizontal="left" indent="3"/>
    </xf>
    <xf numFmtId="0" fontId="22" fillId="0" borderId="0" xfId="0" applyFont="1" applyBorder="1" applyAlignment="1">
      <alignment vertical="center"/>
    </xf>
    <xf numFmtId="0" fontId="22" fillId="0" borderId="51" xfId="0" applyFont="1" applyFill="1" applyBorder="1" applyAlignment="1"/>
    <xf numFmtId="0" fontId="8" fillId="0" borderId="51" xfId="0" applyFont="1" applyBorder="1" applyAlignment="1"/>
    <xf numFmtId="0" fontId="8" fillId="0" borderId="51" xfId="0" applyFont="1" applyBorder="1" applyAlignment="1">
      <alignment horizontal="left"/>
    </xf>
    <xf numFmtId="0" fontId="19" fillId="0" borderId="16" xfId="0" applyFont="1" applyBorder="1" applyAlignment="1">
      <alignment vertical="center"/>
    </xf>
    <xf numFmtId="0" fontId="19" fillId="0" borderId="17" xfId="0" applyFont="1" applyBorder="1" applyAlignment="1">
      <alignment horizontal="center" vertical="center"/>
    </xf>
    <xf numFmtId="0" fontId="19" fillId="0" borderId="9" xfId="0" applyFont="1" applyBorder="1" applyAlignment="1">
      <alignment horizontal="center"/>
    </xf>
    <xf numFmtId="0" fontId="20" fillId="0" borderId="9" xfId="0" applyFont="1" applyBorder="1" applyAlignment="1">
      <alignment horizontal="center"/>
    </xf>
    <xf numFmtId="0" fontId="9" fillId="0" borderId="0" xfId="0" applyFont="1"/>
    <xf numFmtId="0" fontId="22" fillId="0" borderId="49" xfId="0" applyFont="1" applyBorder="1" applyAlignment="1">
      <alignment vertical="center"/>
    </xf>
    <xf numFmtId="0" fontId="0" fillId="0" borderId="0" xfId="0" applyFont="1" applyBorder="1" applyAlignment="1">
      <alignment horizontal="left" vertical="center" indent="1"/>
    </xf>
    <xf numFmtId="0" fontId="19" fillId="0" borderId="14" xfId="0" applyFont="1" applyFill="1" applyBorder="1" applyAlignment="1">
      <alignment horizontal="center" vertical="center"/>
    </xf>
    <xf numFmtId="0" fontId="61" fillId="0" borderId="0" xfId="0" applyFont="1"/>
    <xf numFmtId="0" fontId="61" fillId="0" borderId="0" xfId="0" applyFont="1" applyBorder="1" applyAlignment="1">
      <alignment horizontal="left" vertical="center"/>
    </xf>
    <xf numFmtId="0" fontId="61" fillId="0" borderId="0" xfId="0" applyFont="1" applyFill="1" applyBorder="1"/>
    <xf numFmtId="0" fontId="61" fillId="0" borderId="0" xfId="0" applyFont="1" applyFill="1" applyBorder="1" applyAlignment="1">
      <alignment horizontal="left"/>
    </xf>
    <xf numFmtId="0" fontId="61" fillId="0" borderId="0" xfId="0" applyFont="1" applyBorder="1"/>
    <xf numFmtId="0" fontId="61" fillId="0" borderId="0" xfId="0" applyFont="1" applyBorder="1" applyAlignment="1">
      <alignment vertical="center"/>
    </xf>
    <xf numFmtId="0" fontId="61" fillId="0" borderId="0" xfId="0" applyFont="1" applyFill="1" applyBorder="1" applyAlignment="1">
      <alignment horizontal="left" vertical="center"/>
    </xf>
    <xf numFmtId="0" fontId="61" fillId="0" borderId="0" xfId="0" applyFont="1" applyAlignment="1">
      <alignment vertical="center"/>
    </xf>
    <xf numFmtId="0" fontId="61" fillId="0" borderId="0" xfId="0" applyNumberFormat="1" applyFont="1" applyBorder="1" applyAlignment="1">
      <alignment vertical="center"/>
    </xf>
    <xf numFmtId="0" fontId="61" fillId="0" borderId="33" xfId="0" applyFont="1" applyBorder="1" applyAlignment="1">
      <alignment horizontal="left"/>
    </xf>
    <xf numFmtId="0" fontId="61" fillId="0" borderId="0" xfId="0" applyFont="1" applyAlignment="1">
      <alignment horizontal="left"/>
    </xf>
    <xf numFmtId="0" fontId="62" fillId="0" borderId="0" xfId="0" applyFont="1" applyFill="1" applyBorder="1"/>
    <xf numFmtId="0" fontId="62" fillId="0" borderId="0" xfId="0" applyFont="1" applyFill="1" applyBorder="1" applyAlignment="1">
      <alignment horizontal="left"/>
    </xf>
    <xf numFmtId="0" fontId="63" fillId="9" borderId="0" xfId="0" applyFont="1" applyFill="1" applyBorder="1" applyAlignment="1">
      <alignment horizontal="center"/>
    </xf>
    <xf numFmtId="0" fontId="62" fillId="0" borderId="3" xfId="0" applyFont="1" applyFill="1" applyBorder="1" applyAlignment="1">
      <alignment horizontal="center"/>
    </xf>
    <xf numFmtId="0" fontId="59" fillId="0" borderId="5" xfId="0" applyFont="1" applyFill="1" applyBorder="1" applyAlignment="1">
      <alignment horizontal="center"/>
    </xf>
    <xf numFmtId="0" fontId="59" fillId="0" borderId="0" xfId="0" applyFont="1" applyFill="1" applyBorder="1"/>
    <xf numFmtId="0" fontId="62" fillId="0" borderId="14" xfId="0" applyFont="1" applyFill="1" applyBorder="1" applyAlignment="1">
      <alignment horizontal="center" vertical="center"/>
    </xf>
    <xf numFmtId="0" fontId="62" fillId="0" borderId="15" xfId="0" applyFont="1" applyFill="1" applyBorder="1" applyAlignment="1">
      <alignment horizontal="center"/>
    </xf>
    <xf numFmtId="0" fontId="62" fillId="0" borderId="16" xfId="0" applyFont="1" applyFill="1" applyBorder="1" applyAlignment="1">
      <alignment horizontal="center" vertical="center"/>
    </xf>
    <xf numFmtId="0" fontId="62" fillId="0" borderId="18" xfId="0" applyFont="1" applyFill="1" applyBorder="1" applyAlignment="1">
      <alignment horizontal="center" vertical="center"/>
    </xf>
    <xf numFmtId="0" fontId="62" fillId="0" borderId="55" xfId="0" applyFont="1" applyFill="1" applyBorder="1"/>
    <xf numFmtId="0" fontId="64" fillId="10" borderId="0" xfId="0" applyFont="1" applyFill="1" applyBorder="1"/>
    <xf numFmtId="0" fontId="65" fillId="10" borderId="0" xfId="0" applyFont="1" applyFill="1" applyBorder="1" applyAlignment="1">
      <alignment horizontal="left"/>
    </xf>
    <xf numFmtId="0" fontId="65" fillId="10" borderId="0" xfId="0" applyFont="1" applyFill="1" applyBorder="1"/>
    <xf numFmtId="0" fontId="62" fillId="0" borderId="35" xfId="0" applyFont="1" applyFill="1" applyBorder="1" applyAlignment="1">
      <alignment horizontal="center" vertical="center" wrapText="1"/>
    </xf>
    <xf numFmtId="0" fontId="59" fillId="0" borderId="0" xfId="0" applyFont="1" applyFill="1" applyBorder="1" applyAlignment="1"/>
    <xf numFmtId="0" fontId="62" fillId="0" borderId="0" xfId="0" applyFont="1" applyFill="1" applyBorder="1" applyAlignment="1"/>
    <xf numFmtId="0" fontId="66" fillId="0" borderId="11" xfId="0" applyFont="1" applyFill="1" applyBorder="1"/>
    <xf numFmtId="0" fontId="62" fillId="0" borderId="13" xfId="0" applyFont="1" applyFill="1" applyBorder="1"/>
    <xf numFmtId="0" fontId="67" fillId="0" borderId="11" xfId="0" applyFont="1" applyFill="1" applyBorder="1" applyAlignment="1">
      <alignment horizontal="left" vertical="center"/>
    </xf>
    <xf numFmtId="0" fontId="67" fillId="0" borderId="12" xfId="0" applyFont="1" applyFill="1" applyBorder="1" applyAlignment="1">
      <alignment horizontal="left" vertical="center"/>
    </xf>
    <xf numFmtId="0" fontId="67" fillId="0" borderId="13" xfId="0" applyFont="1" applyFill="1" applyBorder="1" applyAlignment="1">
      <alignment horizontal="left" vertical="center"/>
    </xf>
    <xf numFmtId="0" fontId="62" fillId="0" borderId="12" xfId="0" applyFont="1" applyFill="1" applyBorder="1" applyAlignment="1">
      <alignment horizontal="left"/>
    </xf>
    <xf numFmtId="0" fontId="62" fillId="0" borderId="35" xfId="0" applyFont="1" applyFill="1" applyBorder="1" applyAlignment="1">
      <alignment horizontal="center" vertical="center"/>
    </xf>
    <xf numFmtId="0" fontId="62" fillId="0" borderId="35" xfId="0" applyFont="1" applyFill="1" applyBorder="1"/>
    <xf numFmtId="0" fontId="66" fillId="0" borderId="0" xfId="0" applyFont="1" applyFill="1" applyBorder="1"/>
    <xf numFmtId="0" fontId="67" fillId="0" borderId="0" xfId="0" applyFont="1" applyFill="1" applyBorder="1" applyAlignment="1">
      <alignment horizontal="left" vertical="center"/>
    </xf>
    <xf numFmtId="0" fontId="62" fillId="0" borderId="0" xfId="0" applyFont="1" applyFill="1" applyBorder="1" applyAlignment="1">
      <alignment horizontal="center" vertical="center"/>
    </xf>
    <xf numFmtId="0" fontId="68" fillId="0" borderId="0" xfId="0" applyFont="1" applyFill="1" applyBorder="1" applyAlignment="1">
      <alignment horizontal="left" vertical="center"/>
    </xf>
    <xf numFmtId="0" fontId="62" fillId="0" borderId="0" xfId="0" applyFont="1" applyFill="1" applyBorder="1" applyAlignment="1">
      <alignment horizontal="left" vertical="center"/>
    </xf>
    <xf numFmtId="0" fontId="68" fillId="0" borderId="0" xfId="0" applyFont="1" applyFill="1" applyBorder="1" applyAlignment="1">
      <alignment horizontal="justify" vertical="center"/>
    </xf>
    <xf numFmtId="0" fontId="67" fillId="0" borderId="12" xfId="0" applyFont="1" applyFill="1" applyBorder="1" applyAlignment="1">
      <alignment horizontal="left" vertical="center" wrapText="1"/>
    </xf>
    <xf numFmtId="0" fontId="67" fillId="0" borderId="13" xfId="0" applyFont="1" applyFill="1" applyBorder="1" applyAlignment="1">
      <alignment horizontal="left" vertical="center" wrapText="1"/>
    </xf>
    <xf numFmtId="0" fontId="62" fillId="0" borderId="0" xfId="0" applyFont="1" applyFill="1" applyBorder="1" applyAlignment="1">
      <alignment horizontal="left" vertical="center" indent="6"/>
    </xf>
    <xf numFmtId="0" fontId="59" fillId="11" borderId="56" xfId="0" applyFont="1" applyFill="1" applyBorder="1"/>
    <xf numFmtId="0" fontId="62" fillId="11" borderId="0" xfId="0" applyFont="1" applyFill="1" applyBorder="1"/>
    <xf numFmtId="0" fontId="62" fillId="0" borderId="56" xfId="0" applyFont="1" applyFill="1" applyBorder="1"/>
    <xf numFmtId="0" fontId="62" fillId="0" borderId="56" xfId="0" applyFont="1" applyFill="1" applyBorder="1" applyAlignment="1">
      <alignment horizontal="left"/>
    </xf>
    <xf numFmtId="0" fontId="69" fillId="0" borderId="0" xfId="0" applyFont="1" applyFill="1" applyBorder="1" applyAlignment="1">
      <alignment vertical="center"/>
    </xf>
    <xf numFmtId="0" fontId="62" fillId="0" borderId="56" xfId="0" applyFont="1" applyFill="1" applyBorder="1" applyAlignment="1">
      <alignment horizontal="left" indent="3"/>
    </xf>
    <xf numFmtId="0" fontId="67" fillId="0" borderId="11" xfId="0" applyFont="1" applyFill="1" applyBorder="1" applyAlignment="1">
      <alignment vertical="center"/>
    </xf>
    <xf numFmtId="0" fontId="67" fillId="0" borderId="12" xfId="0" applyFont="1" applyFill="1" applyBorder="1" applyAlignment="1">
      <alignment vertical="center"/>
    </xf>
    <xf numFmtId="0" fontId="62" fillId="0" borderId="0" xfId="0" applyFont="1" applyFill="1" applyBorder="1" applyAlignment="1">
      <alignment horizontal="center"/>
    </xf>
    <xf numFmtId="0" fontId="62" fillId="0" borderId="57" xfId="0" applyFont="1" applyFill="1" applyBorder="1"/>
    <xf numFmtId="0" fontId="62" fillId="0" borderId="57" xfId="0" applyFont="1" applyFill="1" applyBorder="1" applyAlignment="1">
      <alignment horizontal="left"/>
    </xf>
    <xf numFmtId="0" fontId="62" fillId="0" borderId="0" xfId="0" applyFont="1" applyFill="1" applyBorder="1" applyAlignment="1">
      <alignment horizontal="left" indent="3"/>
    </xf>
    <xf numFmtId="0" fontId="67" fillId="0" borderId="0" xfId="0" applyFont="1" applyFill="1" applyBorder="1" applyAlignment="1">
      <alignment vertical="center"/>
    </xf>
    <xf numFmtId="0" fontId="71" fillId="0" borderId="0" xfId="0" applyFont="1" applyAlignment="1">
      <alignment vertical="center"/>
    </xf>
    <xf numFmtId="0" fontId="15" fillId="0" borderId="0" xfId="0" applyFont="1"/>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applyBorder="1" applyAlignment="1">
      <alignment horizontal="left"/>
    </xf>
    <xf numFmtId="0" fontId="0" fillId="0" borderId="0" xfId="0" applyAlignment="1">
      <alignment horizontal="left"/>
    </xf>
    <xf numFmtId="0" fontId="8" fillId="0" borderId="51" xfId="0" applyFont="1" applyBorder="1" applyAlignment="1">
      <alignment horizontal="left" vertical="center"/>
    </xf>
    <xf numFmtId="0" fontId="8" fillId="0" borderId="0" xfId="0" applyFont="1" applyBorder="1" applyAlignment="1">
      <alignment horizontal="left" vertical="center"/>
    </xf>
    <xf numFmtId="0" fontId="49" fillId="0" borderId="0" xfId="0" applyFont="1" applyFill="1" applyBorder="1" applyAlignment="1">
      <alignment horizontal="left" vertical="center"/>
    </xf>
    <xf numFmtId="0" fontId="22" fillId="0" borderId="35" xfId="0" applyFont="1" applyBorder="1" applyAlignment="1">
      <alignment horizontal="center"/>
    </xf>
    <xf numFmtId="0" fontId="72" fillId="0" borderId="0" xfId="0" applyFont="1" applyBorder="1" applyAlignment="1">
      <alignment horizontal="left" vertical="center"/>
    </xf>
    <xf numFmtId="0" fontId="72" fillId="0" borderId="0" xfId="0" applyFont="1" applyBorder="1" applyAlignment="1">
      <alignment horizontal="justify" vertical="center"/>
    </xf>
    <xf numFmtId="0" fontId="35" fillId="0" borderId="0" xfId="0" applyFont="1" applyAlignment="1">
      <alignment vertical="center"/>
    </xf>
    <xf numFmtId="0" fontId="35" fillId="0" borderId="0" xfId="0" applyFont="1" applyAlignment="1">
      <alignment vertical="center" wrapText="1"/>
    </xf>
    <xf numFmtId="0" fontId="57" fillId="0" borderId="0" xfId="0" applyFont="1" applyAlignment="1">
      <alignment vertical="center"/>
    </xf>
    <xf numFmtId="0" fontId="22" fillId="0" borderId="0" xfId="0" applyFont="1" applyAlignment="1">
      <alignment vertical="center"/>
    </xf>
    <xf numFmtId="0" fontId="72" fillId="0" borderId="0" xfId="0" applyFont="1" applyBorder="1"/>
    <xf numFmtId="0" fontId="4" fillId="0" borderId="0" xfId="0" applyFont="1" applyBorder="1"/>
    <xf numFmtId="0" fontId="19" fillId="0" borderId="16" xfId="0" applyFont="1" applyBorder="1"/>
    <xf numFmtId="0" fontId="19" fillId="0" borderId="16" xfId="0" applyFont="1" applyBorder="1" applyAlignment="1">
      <alignment horizontal="center" vertical="center"/>
    </xf>
    <xf numFmtId="0" fontId="45" fillId="0" borderId="10" xfId="0" applyFont="1" applyBorder="1"/>
    <xf numFmtId="0" fontId="72" fillId="0" borderId="0" xfId="0" applyFont="1" applyBorder="1" applyAlignment="1">
      <alignment vertical="center"/>
    </xf>
    <xf numFmtId="0" fontId="72" fillId="0" borderId="0" xfId="0" applyFont="1" applyBorder="1" applyAlignment="1"/>
    <xf numFmtId="0" fontId="35" fillId="0" borderId="0" xfId="0" applyFont="1" applyBorder="1" applyAlignment="1">
      <alignment vertical="center" wrapText="1"/>
    </xf>
    <xf numFmtId="0" fontId="22" fillId="0" borderId="0" xfId="0" applyFont="1" applyBorder="1" applyAlignment="1">
      <alignment horizontal="left" indent="2"/>
    </xf>
    <xf numFmtId="0" fontId="55" fillId="0" borderId="51" xfId="0" applyFont="1" applyBorder="1"/>
    <xf numFmtId="0" fontId="22" fillId="0" borderId="51" xfId="0" applyFont="1" applyBorder="1" applyAlignment="1">
      <alignment horizontal="left" indent="2"/>
    </xf>
    <xf numFmtId="0" fontId="0" fillId="0" borderId="51" xfId="0" applyFill="1" applyBorder="1"/>
    <xf numFmtId="0" fontId="0" fillId="0" borderId="51" xfId="0" applyBorder="1" applyAlignment="1">
      <alignment horizontal="left" indent="2"/>
    </xf>
    <xf numFmtId="0" fontId="22" fillId="0" borderId="51" xfId="0" applyFont="1" applyFill="1" applyBorder="1"/>
    <xf numFmtId="0" fontId="49" fillId="0" borderId="51" xfId="0" applyFont="1" applyFill="1" applyBorder="1" applyAlignment="1">
      <alignment horizontal="left" vertical="center"/>
    </xf>
    <xf numFmtId="0" fontId="22" fillId="0" borderId="51" xfId="0" applyFont="1" applyBorder="1"/>
    <xf numFmtId="164" fontId="0" fillId="0" borderId="0" xfId="0" applyNumberFormat="1" applyAlignment="1">
      <alignment horizontal="center" vertical="center"/>
    </xf>
    <xf numFmtId="0" fontId="0" fillId="12" borderId="0" xfId="0" applyFill="1"/>
    <xf numFmtId="0" fontId="73" fillId="0" borderId="0" xfId="0" applyFont="1"/>
    <xf numFmtId="0" fontId="29" fillId="0" borderId="0" xfId="0" applyFont="1" applyFill="1"/>
    <xf numFmtId="0" fontId="0" fillId="0" borderId="0" xfId="0" applyAlignment="1">
      <alignment horizontal="left" indent="1"/>
    </xf>
    <xf numFmtId="0" fontId="22" fillId="0" borderId="0" xfId="0" applyFont="1" applyAlignment="1">
      <alignment horizontal="left" indent="3"/>
    </xf>
    <xf numFmtId="0" fontId="0" fillId="0" borderId="0" xfId="0" applyAlignment="1">
      <alignment horizontal="left" indent="3"/>
    </xf>
    <xf numFmtId="0" fontId="72" fillId="0" borderId="0" xfId="0" applyFont="1" applyAlignment="1">
      <alignment vertical="center"/>
    </xf>
    <xf numFmtId="0" fontId="74" fillId="0" borderId="0" xfId="0" applyFont="1" applyAlignment="1">
      <alignment vertical="center"/>
    </xf>
    <xf numFmtId="0" fontId="0" fillId="0" borderId="0" xfId="0" applyFont="1" applyFill="1" applyBorder="1" applyAlignment="1">
      <alignment horizontal="center"/>
    </xf>
    <xf numFmtId="0" fontId="0" fillId="0" borderId="0" xfId="0" applyFont="1" applyAlignment="1">
      <alignment horizontal="center"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17" xfId="0" applyFont="1" applyFill="1" applyBorder="1" applyAlignment="1">
      <alignment horizontal="center" vertical="center" wrapText="1"/>
    </xf>
    <xf numFmtId="0" fontId="7" fillId="0" borderId="40" xfId="0" applyFont="1" applyBorder="1" applyAlignment="1">
      <alignment horizontal="center" vertical="center"/>
    </xf>
    <xf numFmtId="0" fontId="7" fillId="0" borderId="41" xfId="0" applyFont="1" applyBorder="1" applyAlignment="1">
      <alignment horizontal="center" vertical="center"/>
    </xf>
    <xf numFmtId="0" fontId="7" fillId="0" borderId="41" xfId="0" applyFont="1" applyBorder="1" applyAlignment="1">
      <alignment horizontal="center" vertical="center" wrapText="1"/>
    </xf>
    <xf numFmtId="0" fontId="7" fillId="0" borderId="42" xfId="0" applyFont="1" applyBorder="1" applyAlignment="1">
      <alignment horizontal="center" vertical="center"/>
    </xf>
    <xf numFmtId="0" fontId="4" fillId="0" borderId="47" xfId="0" applyFont="1" applyBorder="1" applyAlignment="1">
      <alignment horizontal="center" vertical="center"/>
    </xf>
    <xf numFmtId="0" fontId="4" fillId="0" borderId="45" xfId="0" applyFont="1" applyBorder="1" applyAlignment="1">
      <alignment horizontal="center" vertical="center"/>
    </xf>
    <xf numFmtId="0" fontId="7" fillId="0" borderId="10" xfId="0" applyFont="1" applyBorder="1" applyAlignment="1">
      <alignment horizontal="center" vertical="center" wrapText="1"/>
    </xf>
    <xf numFmtId="0" fontId="7" fillId="0" borderId="17" xfId="0" applyFont="1" applyBorder="1" applyAlignment="1">
      <alignment horizontal="center" vertical="center" wrapText="1"/>
    </xf>
    <xf numFmtId="0" fontId="19" fillId="0" borderId="40" xfId="0" applyFont="1" applyFill="1" applyBorder="1" applyAlignment="1">
      <alignment horizontal="center" vertical="center"/>
    </xf>
    <xf numFmtId="0" fontId="7" fillId="0" borderId="41" xfId="0" applyFont="1" applyFill="1" applyBorder="1" applyAlignment="1">
      <alignment horizontal="center" vertical="center" wrapText="1"/>
    </xf>
    <xf numFmtId="0" fontId="7" fillId="0" borderId="30" xfId="0" applyFont="1" applyBorder="1" applyAlignment="1">
      <alignment horizontal="center" vertical="center" wrapText="1"/>
    </xf>
    <xf numFmtId="0" fontId="20" fillId="0" borderId="14" xfId="0" applyFont="1" applyFill="1" applyBorder="1" applyAlignment="1">
      <alignment horizontal="center" vertical="center"/>
    </xf>
    <xf numFmtId="0" fontId="4" fillId="0" borderId="6" xfId="0" applyFont="1" applyFill="1" applyBorder="1" applyAlignment="1">
      <alignment horizontal="center" vertical="center"/>
    </xf>
    <xf numFmtId="0" fontId="4" fillId="0" borderId="44" xfId="0" applyFont="1" applyBorder="1" applyAlignment="1">
      <alignment horizontal="center" vertical="center"/>
    </xf>
    <xf numFmtId="0" fontId="22" fillId="0" borderId="0" xfId="0" applyFont="1" applyAlignment="1">
      <alignment horizontal="center" vertical="center"/>
    </xf>
    <xf numFmtId="0" fontId="4" fillId="0" borderId="0" xfId="0" applyFont="1" applyFill="1" applyBorder="1" applyAlignment="1"/>
    <xf numFmtId="0" fontId="0" fillId="0" borderId="58" xfId="0" applyBorder="1"/>
    <xf numFmtId="0" fontId="22" fillId="0" borderId="0" xfId="0" applyFont="1" applyAlignment="1"/>
    <xf numFmtId="0" fontId="20" fillId="0" borderId="3" xfId="0" applyFont="1" applyBorder="1" applyAlignment="1">
      <alignment horizontal="center" vertical="center"/>
    </xf>
    <xf numFmtId="0" fontId="75" fillId="0" borderId="3" xfId="0" applyFont="1" applyBorder="1" applyAlignment="1">
      <alignment horizontal="center" vertical="center"/>
    </xf>
    <xf numFmtId="0" fontId="72" fillId="0" borderId="32" xfId="0" applyFont="1" applyBorder="1"/>
    <xf numFmtId="0" fontId="72" fillId="0" borderId="10" xfId="0" applyFont="1" applyBorder="1"/>
    <xf numFmtId="0" fontId="72" fillId="0" borderId="30" xfId="0" applyFont="1" applyBorder="1"/>
    <xf numFmtId="0" fontId="75" fillId="0" borderId="4" xfId="0" applyFont="1" applyBorder="1" applyAlignment="1">
      <alignment horizontal="center" vertical="center"/>
    </xf>
    <xf numFmtId="0" fontId="72" fillId="0" borderId="16" xfId="0" applyFont="1" applyBorder="1"/>
    <xf numFmtId="0" fontId="72" fillId="0" borderId="17" xfId="0" applyFont="1" applyBorder="1"/>
    <xf numFmtId="0" fontId="72" fillId="0" borderId="18" xfId="0" applyFont="1" applyBorder="1"/>
    <xf numFmtId="0" fontId="75" fillId="0" borderId="1" xfId="0" applyFont="1" applyBorder="1" applyAlignment="1">
      <alignment horizontal="center" vertical="center"/>
    </xf>
    <xf numFmtId="0" fontId="20" fillId="0" borderId="16" xfId="0" applyFont="1" applyFill="1" applyBorder="1" applyAlignment="1">
      <alignment horizontal="center" vertical="center"/>
    </xf>
    <xf numFmtId="0" fontId="20" fillId="0" borderId="17" xfId="0" applyFont="1" applyFill="1" applyBorder="1" applyAlignment="1">
      <alignment horizontal="center" vertical="center"/>
    </xf>
    <xf numFmtId="0" fontId="20" fillId="0" borderId="18" xfId="0" applyFont="1" applyFill="1" applyBorder="1" applyAlignment="1">
      <alignment horizontal="center" vertical="center"/>
    </xf>
    <xf numFmtId="0" fontId="76" fillId="0" borderId="16" xfId="0" applyFont="1" applyBorder="1" applyAlignment="1">
      <alignment horizontal="center" vertical="center"/>
    </xf>
    <xf numFmtId="0" fontId="76" fillId="0" borderId="17" xfId="0" applyFont="1" applyBorder="1" applyAlignment="1">
      <alignment horizontal="center" vertical="center"/>
    </xf>
    <xf numFmtId="0" fontId="76" fillId="0" borderId="18" xfId="0" applyFont="1" applyBorder="1" applyAlignment="1">
      <alignment horizontal="center" vertical="center"/>
    </xf>
    <xf numFmtId="0" fontId="75" fillId="0" borderId="14" xfId="0" applyFont="1" applyBorder="1" applyAlignment="1">
      <alignment horizontal="center" vertical="center"/>
    </xf>
    <xf numFmtId="0" fontId="20" fillId="0" borderId="40" xfId="0" applyFont="1" applyFill="1" applyBorder="1" applyAlignment="1">
      <alignment horizontal="center" vertical="center"/>
    </xf>
    <xf numFmtId="0" fontId="20" fillId="0" borderId="41" xfId="0" applyFont="1" applyFill="1" applyBorder="1" applyAlignment="1">
      <alignment horizontal="center" vertical="center"/>
    </xf>
    <xf numFmtId="0" fontId="20" fillId="0" borderId="42" xfId="0" applyFont="1" applyFill="1" applyBorder="1" applyAlignment="1">
      <alignment horizontal="center" vertical="center"/>
    </xf>
    <xf numFmtId="0" fontId="75" fillId="0" borderId="15" xfId="0" applyFont="1" applyBorder="1" applyAlignment="1">
      <alignment horizontal="center" vertical="center"/>
    </xf>
    <xf numFmtId="0" fontId="20" fillId="0" borderId="36" xfId="0" applyFont="1" applyBorder="1" applyAlignment="1">
      <alignment horizontal="center" vertical="center"/>
    </xf>
    <xf numFmtId="0" fontId="20" fillId="0" borderId="2" xfId="0" applyFont="1" applyBorder="1" applyAlignment="1">
      <alignment horizontal="center" vertical="center"/>
    </xf>
    <xf numFmtId="0" fontId="20" fillId="0" borderId="37" xfId="0" applyFont="1" applyBorder="1" applyAlignment="1">
      <alignment horizontal="center" vertical="center"/>
    </xf>
    <xf numFmtId="0" fontId="75" fillId="0" borderId="1" xfId="0" applyFont="1" applyFill="1" applyBorder="1" applyAlignment="1">
      <alignment horizontal="center" vertical="center"/>
    </xf>
    <xf numFmtId="0" fontId="20" fillId="0" borderId="36" xfId="0" applyFont="1" applyFill="1" applyBorder="1" applyAlignment="1">
      <alignment horizontal="center" vertical="center"/>
    </xf>
    <xf numFmtId="0" fontId="20" fillId="0" borderId="2" xfId="0" applyFont="1" applyFill="1" applyBorder="1" applyAlignment="1">
      <alignment horizontal="center" vertical="center"/>
    </xf>
    <xf numFmtId="0" fontId="20" fillId="0" borderId="37" xfId="0" applyFont="1" applyFill="1" applyBorder="1" applyAlignment="1">
      <alignment horizontal="center" vertical="center"/>
    </xf>
    <xf numFmtId="0" fontId="0" fillId="0" borderId="5" xfId="0" applyFont="1" applyBorder="1" applyAlignment="1">
      <alignment horizontal="center"/>
    </xf>
    <xf numFmtId="0" fontId="0" fillId="0" borderId="15" xfId="0" applyFont="1" applyFill="1" applyBorder="1" applyAlignment="1">
      <alignment horizontal="center"/>
    </xf>
    <xf numFmtId="0" fontId="0" fillId="0" borderId="37" xfId="0" applyFont="1" applyBorder="1" applyAlignment="1">
      <alignment horizontal="center"/>
    </xf>
    <xf numFmtId="0" fontId="72" fillId="0" borderId="5" xfId="0" applyFont="1" applyBorder="1"/>
    <xf numFmtId="0" fontId="72" fillId="0" borderId="15" xfId="0" applyFont="1" applyFill="1" applyBorder="1"/>
    <xf numFmtId="0" fontId="72" fillId="0" borderId="37" xfId="0" applyFont="1" applyFill="1" applyBorder="1"/>
    <xf numFmtId="0" fontId="72" fillId="0" borderId="18" xfId="0" applyFont="1" applyFill="1" applyBorder="1"/>
    <xf numFmtId="0" fontId="77" fillId="0" borderId="1" xfId="0" applyFont="1" applyFill="1" applyBorder="1" applyAlignment="1">
      <alignment horizontal="center" vertical="center"/>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0" fillId="0" borderId="0" xfId="0"/>
    <xf numFmtId="0" fontId="22" fillId="0" borderId="0" xfId="0" applyFont="1"/>
    <xf numFmtId="0" fontId="9" fillId="0" borderId="0" xfId="0" applyFont="1" applyBorder="1" applyAlignment="1">
      <alignment horizontal="justify" vertical="center"/>
    </xf>
    <xf numFmtId="0" fontId="19" fillId="0" borderId="18" xfId="0" applyFont="1" applyBorder="1" applyAlignment="1">
      <alignment horizontal="center" vertical="center"/>
    </xf>
    <xf numFmtId="0" fontId="4" fillId="0" borderId="0" xfId="0" applyFont="1" applyBorder="1" applyAlignment="1">
      <alignment horizontal="left" vertical="center"/>
    </xf>
    <xf numFmtId="0" fontId="22" fillId="0" borderId="0" xfId="0" applyFont="1"/>
    <xf numFmtId="0" fontId="22" fillId="0" borderId="0" xfId="0" applyFont="1" applyFill="1" applyBorder="1"/>
    <xf numFmtId="0" fontId="0" fillId="0" borderId="0" xfId="0" applyFill="1" applyBorder="1"/>
    <xf numFmtId="0" fontId="0" fillId="0" borderId="0" xfId="0"/>
    <xf numFmtId="0" fontId="8" fillId="0" borderId="0" xfId="0" applyFont="1" applyBorder="1" applyAlignment="1">
      <alignment horizontal="left" vertical="center"/>
    </xf>
    <xf numFmtId="0" fontId="49" fillId="0" borderId="0" xfId="0" applyFont="1" applyFill="1" applyBorder="1" applyAlignment="1">
      <alignment horizontal="left" vertical="center"/>
    </xf>
    <xf numFmtId="0" fontId="49" fillId="0" borderId="0" xfId="0" applyFont="1" applyBorder="1" applyAlignment="1">
      <alignment horizontal="left" vertical="center"/>
    </xf>
    <xf numFmtId="0" fontId="0" fillId="0" borderId="0" xfId="0"/>
    <xf numFmtId="0" fontId="22" fillId="0" borderId="0" xfId="0" applyFont="1" applyFill="1" applyBorder="1"/>
    <xf numFmtId="0" fontId="78" fillId="0" borderId="0" xfId="0" applyFont="1"/>
    <xf numFmtId="0" fontId="19" fillId="0" borderId="0" xfId="0" applyFont="1" applyBorder="1"/>
    <xf numFmtId="0" fontId="68" fillId="0" borderId="0" xfId="0" applyFont="1"/>
    <xf numFmtId="0" fontId="49" fillId="0" borderId="0" xfId="0" applyFont="1" applyBorder="1" applyAlignment="1">
      <alignment horizontal="left" vertical="center" indent="4"/>
    </xf>
    <xf numFmtId="0" fontId="22" fillId="0" borderId="0" xfId="0" applyFont="1" applyAlignment="1">
      <alignment horizontal="left" indent="4"/>
    </xf>
    <xf numFmtId="0" fontId="0" fillId="0" borderId="0" xfId="0" applyFont="1" applyBorder="1" applyAlignment="1">
      <alignment horizontal="left" indent="5"/>
    </xf>
    <xf numFmtId="0" fontId="0" fillId="0" borderId="0" xfId="0"/>
    <xf numFmtId="0" fontId="79" fillId="0" borderId="0" xfId="1"/>
    <xf numFmtId="0" fontId="83" fillId="0" borderId="0" xfId="1" applyFont="1" applyBorder="1"/>
    <xf numFmtId="0" fontId="80" fillId="0" borderId="11" xfId="1" applyFont="1" applyBorder="1"/>
    <xf numFmtId="0" fontId="79" fillId="0" borderId="13" xfId="1" applyBorder="1"/>
    <xf numFmtId="0" fontId="79" fillId="0" borderId="35" xfId="1" applyFont="1" applyBorder="1"/>
    <xf numFmtId="0" fontId="79" fillId="0" borderId="0" xfId="1" applyBorder="1"/>
    <xf numFmtId="0" fontId="83" fillId="0" borderId="0" xfId="1" applyFont="1"/>
    <xf numFmtId="0" fontId="78" fillId="0" borderId="0" xfId="1" applyFont="1"/>
    <xf numFmtId="0" fontId="79" fillId="0" borderId="0" xfId="1" applyAlignment="1">
      <alignment horizontal="center" vertical="center"/>
    </xf>
    <xf numFmtId="0" fontId="79" fillId="0" borderId="35" xfId="1" applyBorder="1" applyAlignment="1">
      <alignment horizontal="center" vertical="center"/>
    </xf>
    <xf numFmtId="0" fontId="81" fillId="0" borderId="0" xfId="1" applyFont="1"/>
    <xf numFmtId="0" fontId="79" fillId="0" borderId="0" xfId="1" applyAlignment="1">
      <alignment horizontal="center"/>
    </xf>
    <xf numFmtId="0" fontId="79" fillId="0" borderId="35" xfId="1" applyFont="1" applyBorder="1" applyAlignment="1">
      <alignment horizontal="center"/>
    </xf>
    <xf numFmtId="0" fontId="79" fillId="0" borderId="13" xfId="1" applyFont="1" applyBorder="1" applyAlignment="1">
      <alignment horizontal="center"/>
    </xf>
    <xf numFmtId="0" fontId="79" fillId="0" borderId="0" xfId="1"/>
    <xf numFmtId="0" fontId="83" fillId="0" borderId="0" xfId="1" applyFont="1" applyBorder="1"/>
    <xf numFmtId="0" fontId="79" fillId="0" borderId="35" xfId="1" applyFont="1" applyBorder="1"/>
    <xf numFmtId="0" fontId="79" fillId="0" borderId="0" xfId="1" applyBorder="1"/>
    <xf numFmtId="0" fontId="83" fillId="0" borderId="0" xfId="1" applyFont="1"/>
    <xf numFmtId="0" fontId="78" fillId="0" borderId="0" xfId="1" applyFont="1"/>
    <xf numFmtId="0" fontId="79" fillId="0" borderId="0" xfId="1" applyAlignment="1">
      <alignment horizontal="center" vertical="center"/>
    </xf>
    <xf numFmtId="0" fontId="81" fillId="0" borderId="0" xfId="1" applyFont="1"/>
    <xf numFmtId="0" fontId="79" fillId="0" borderId="0" xfId="1" applyAlignment="1">
      <alignment horizontal="center"/>
    </xf>
    <xf numFmtId="0" fontId="79" fillId="0" borderId="35" xfId="1" applyFont="1" applyBorder="1" applyAlignment="1">
      <alignment horizontal="center"/>
    </xf>
    <xf numFmtId="0" fontId="79" fillId="0" borderId="13" xfId="1" applyFont="1" applyBorder="1" applyAlignment="1">
      <alignment horizontal="center"/>
    </xf>
    <xf numFmtId="0" fontId="79" fillId="0" borderId="0" xfId="1"/>
    <xf numFmtId="0" fontId="83" fillId="0" borderId="0" xfId="1" applyFont="1" applyBorder="1"/>
    <xf numFmtId="0" fontId="82" fillId="0" borderId="0" xfId="1" applyFont="1" applyBorder="1" applyAlignment="1">
      <alignment horizontal="left" vertical="center"/>
    </xf>
    <xf numFmtId="0" fontId="79" fillId="0" borderId="13" xfId="1" applyFont="1" applyBorder="1" applyAlignment="1">
      <alignment horizontal="center"/>
    </xf>
    <xf numFmtId="0" fontId="79" fillId="0" borderId="13" xfId="1" applyBorder="1" applyAlignment="1">
      <alignment horizontal="center" vertical="center"/>
    </xf>
    <xf numFmtId="0" fontId="79" fillId="0" borderId="0" xfId="1" applyFont="1" applyBorder="1" applyAlignment="1">
      <alignment horizontal="left" indent="4"/>
    </xf>
    <xf numFmtId="0" fontId="59" fillId="0" borderId="0" xfId="1" applyFont="1" applyAlignment="1">
      <alignment horizontal="left" indent="4"/>
    </xf>
    <xf numFmtId="0" fontId="59" fillId="0" borderId="0" xfId="1" applyFont="1"/>
    <xf numFmtId="0" fontId="84" fillId="0" borderId="0" xfId="1" applyFont="1"/>
    <xf numFmtId="0" fontId="18" fillId="0" borderId="0" xfId="0" applyFont="1"/>
    <xf numFmtId="0" fontId="14" fillId="0" borderId="17" xfId="0" applyFont="1" applyBorder="1" applyAlignment="1">
      <alignment horizontal="center" vertical="center"/>
    </xf>
    <xf numFmtId="0" fontId="41" fillId="0" borderId="33" xfId="0" applyFont="1" applyBorder="1" applyAlignment="1">
      <alignment vertical="center" readingOrder="1"/>
    </xf>
    <xf numFmtId="0" fontId="0" fillId="0" borderId="34" xfId="0" applyBorder="1"/>
    <xf numFmtId="0" fontId="41" fillId="0" borderId="0" xfId="0" applyFont="1" applyBorder="1" applyAlignment="1">
      <alignment vertical="center" readingOrder="1"/>
    </xf>
    <xf numFmtId="0" fontId="0" fillId="0" borderId="59" xfId="0" applyBorder="1"/>
    <xf numFmtId="0" fontId="44" fillId="0" borderId="38" xfId="0" applyFont="1" applyBorder="1"/>
    <xf numFmtId="0" fontId="44" fillId="0" borderId="19" xfId="0" applyFont="1" applyBorder="1"/>
    <xf numFmtId="0" fontId="41" fillId="0" borderId="43" xfId="0" applyFont="1" applyBorder="1" applyAlignment="1">
      <alignment vertical="center" readingOrder="1"/>
    </xf>
    <xf numFmtId="0" fontId="0" fillId="0" borderId="43" xfId="0" applyBorder="1"/>
    <xf numFmtId="0" fontId="0" fillId="0" borderId="60" xfId="0" applyBorder="1"/>
    <xf numFmtId="0" fontId="4" fillId="0" borderId="4" xfId="0" applyFont="1" applyBorder="1" applyAlignment="1">
      <alignment horizontal="center" vertical="center"/>
    </xf>
    <xf numFmtId="0" fontId="0" fillId="0" borderId="25" xfId="0" applyFont="1" applyBorder="1" applyAlignment="1">
      <alignment horizontal="left" vertical="center"/>
    </xf>
    <xf numFmtId="0" fontId="7" fillId="0" borderId="20" xfId="0" applyFont="1" applyBorder="1" applyAlignment="1">
      <alignment horizontal="center" vertical="center" wrapText="1"/>
    </xf>
    <xf numFmtId="0" fontId="7" fillId="0" borderId="6" xfId="0" applyFont="1" applyFill="1" applyBorder="1" applyAlignment="1">
      <alignment horizontal="center" vertical="center" wrapText="1"/>
    </xf>
    <xf numFmtId="0" fontId="7" fillId="0" borderId="21" xfId="0" applyFont="1" applyBorder="1" applyAlignment="1">
      <alignment horizontal="center" vertical="center" wrapText="1"/>
    </xf>
    <xf numFmtId="0" fontId="7" fillId="0" borderId="47" xfId="0" applyFont="1" applyBorder="1" applyAlignment="1">
      <alignment horizontal="center" vertical="center" wrapText="1"/>
    </xf>
    <xf numFmtId="0" fontId="7" fillId="0" borderId="6" xfId="0" applyFont="1" applyBorder="1" applyAlignment="1">
      <alignment horizontal="center" vertical="center" wrapText="1"/>
    </xf>
    <xf numFmtId="0" fontId="0" fillId="0" borderId="44" xfId="0" applyFont="1" applyBorder="1"/>
    <xf numFmtId="0" fontId="7" fillId="0" borderId="21"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44" xfId="0" applyFont="1" applyBorder="1" applyAlignment="1">
      <alignment horizontal="center" vertical="center" wrapText="1"/>
    </xf>
    <xf numFmtId="0" fontId="0" fillId="0" borderId="39" xfId="0" applyFont="1" applyBorder="1"/>
    <xf numFmtId="0" fontId="7" fillId="0" borderId="35" xfId="0" applyFont="1" applyFill="1" applyBorder="1" applyAlignment="1">
      <alignment horizontal="center" vertical="center"/>
    </xf>
    <xf numFmtId="0" fontId="20" fillId="0" borderId="6" xfId="0" applyFont="1" applyBorder="1" applyAlignment="1">
      <alignment horizontal="center"/>
    </xf>
    <xf numFmtId="0" fontId="20" fillId="0" borderId="15" xfId="0" applyFont="1" applyBorder="1" applyAlignment="1">
      <alignment horizontal="center" wrapText="1"/>
    </xf>
    <xf numFmtId="0" fontId="41" fillId="0" borderId="7" xfId="0" applyFont="1" applyBorder="1" applyAlignment="1">
      <alignment vertical="center" textRotation="90" wrapText="1" readingOrder="1"/>
    </xf>
    <xf numFmtId="0" fontId="41" fillId="0" borderId="8" xfId="0" applyFont="1" applyBorder="1" applyAlignment="1">
      <alignment vertical="center" textRotation="90" wrapText="1" readingOrder="1"/>
    </xf>
    <xf numFmtId="0" fontId="41" fillId="0" borderId="9" xfId="0" applyFont="1" applyBorder="1" applyAlignment="1">
      <alignment vertical="center" textRotation="90" wrapText="1" readingOrder="1"/>
    </xf>
    <xf numFmtId="0" fontId="0" fillId="0" borderId="0" xfId="0" applyFont="1" applyBorder="1" applyAlignment="1">
      <alignment wrapText="1"/>
    </xf>
    <xf numFmtId="0" fontId="4" fillId="0" borderId="3" xfId="0" applyFont="1" applyBorder="1" applyAlignment="1">
      <alignment vertical="center"/>
    </xf>
    <xf numFmtId="0" fontId="4" fillId="0" borderId="4" xfId="0" applyFont="1" applyFill="1" applyBorder="1" applyAlignment="1">
      <alignment horizontal="center" vertical="center"/>
    </xf>
    <xf numFmtId="0" fontId="76" fillId="0" borderId="17" xfId="0" applyFont="1" applyBorder="1" applyAlignment="1">
      <alignment horizontal="center" vertical="center"/>
    </xf>
    <xf numFmtId="0" fontId="72" fillId="0" borderId="0" xfId="0" applyFont="1"/>
    <xf numFmtId="0" fontId="23" fillId="0" borderId="0" xfId="0" applyFont="1" applyAlignment="1">
      <alignment horizontal="center"/>
    </xf>
    <xf numFmtId="0" fontId="9" fillId="0" borderId="7" xfId="0" applyFont="1" applyBorder="1" applyAlignment="1">
      <alignment vertical="center" textRotation="90" wrapText="1"/>
    </xf>
    <xf numFmtId="0" fontId="9" fillId="0" borderId="8" xfId="0" applyFont="1" applyBorder="1" applyAlignment="1">
      <alignment vertical="center" textRotation="90" wrapText="1"/>
    </xf>
    <xf numFmtId="0" fontId="9" fillId="0" borderId="9" xfId="0" applyFont="1" applyBorder="1" applyAlignment="1">
      <alignment vertical="center" textRotation="90" wrapText="1"/>
    </xf>
    <xf numFmtId="0" fontId="20" fillId="0" borderId="43" xfId="0" applyFont="1" applyBorder="1" applyAlignment="1">
      <alignment horizontal="center" vertical="center"/>
    </xf>
    <xf numFmtId="0" fontId="20" fillId="0" borderId="33" xfId="0" applyFont="1" applyBorder="1" applyAlignment="1">
      <alignment horizontal="center" vertical="center"/>
    </xf>
    <xf numFmtId="0" fontId="20" fillId="0" borderId="0" xfId="0" applyFont="1" applyBorder="1" applyAlignment="1">
      <alignment horizontal="center" vertical="center"/>
    </xf>
    <xf numFmtId="0" fontId="20" fillId="0" borderId="43" xfId="0" applyFont="1" applyFill="1" applyBorder="1" applyAlignment="1">
      <alignment horizontal="center" vertical="center"/>
    </xf>
    <xf numFmtId="0" fontId="20" fillId="0" borderId="0" xfId="0" applyFont="1" applyFill="1" applyBorder="1" applyAlignment="1">
      <alignment horizontal="center" vertical="center"/>
    </xf>
    <xf numFmtId="0" fontId="20" fillId="0" borderId="12" xfId="0" applyFont="1" applyBorder="1" applyAlignment="1">
      <alignment horizontal="center" vertical="center"/>
    </xf>
    <xf numFmtId="0" fontId="76" fillId="0" borderId="0" xfId="0" applyFont="1" applyBorder="1" applyAlignment="1">
      <alignment horizontal="center" vertical="center"/>
    </xf>
    <xf numFmtId="0" fontId="75" fillId="0" borderId="2" xfId="0" applyFont="1" applyFill="1" applyBorder="1" applyAlignment="1">
      <alignment horizontal="center" vertical="center"/>
    </xf>
    <xf numFmtId="0" fontId="77" fillId="0" borderId="2" xfId="0" applyFont="1" applyFill="1" applyBorder="1" applyAlignment="1">
      <alignment horizontal="center" vertical="center"/>
    </xf>
    <xf numFmtId="0" fontId="0" fillId="0" borderId="0" xfId="0"/>
    <xf numFmtId="0" fontId="22" fillId="0" borderId="0" xfId="0" applyFont="1"/>
    <xf numFmtId="0" fontId="22" fillId="0" borderId="0" xfId="0" applyFont="1" applyAlignment="1">
      <alignment horizontal="left"/>
    </xf>
    <xf numFmtId="0" fontId="0" fillId="0" borderId="18" xfId="0" applyFont="1" applyBorder="1" applyAlignment="1">
      <alignment horizontal="center" vertical="center"/>
    </xf>
    <xf numFmtId="0" fontId="9" fillId="0" borderId="0" xfId="0" applyFont="1" applyBorder="1" applyAlignment="1">
      <alignment vertical="center"/>
    </xf>
    <xf numFmtId="0" fontId="0" fillId="0" borderId="0" xfId="0" applyAlignment="1">
      <alignment wrapText="1"/>
    </xf>
    <xf numFmtId="0" fontId="0" fillId="0" borderId="22" xfId="0" applyFont="1" applyBorder="1" applyAlignment="1">
      <alignment horizontal="center" vertical="center"/>
    </xf>
    <xf numFmtId="0" fontId="0" fillId="0" borderId="23" xfId="0" applyFont="1" applyBorder="1" applyAlignment="1">
      <alignment horizontal="center" vertical="center"/>
    </xf>
    <xf numFmtId="0" fontId="0" fillId="0" borderId="24" xfId="0" applyFont="1" applyBorder="1" applyAlignment="1">
      <alignment horizontal="center" vertical="center"/>
    </xf>
    <xf numFmtId="0" fontId="22" fillId="0" borderId="25" xfId="0" applyFont="1" applyBorder="1" applyAlignment="1">
      <alignment horizontal="center" wrapText="1"/>
    </xf>
    <xf numFmtId="0" fontId="22" fillId="0" borderId="33" xfId="0" applyFont="1" applyBorder="1" applyAlignment="1">
      <alignment horizontal="center" wrapText="1"/>
    </xf>
    <xf numFmtId="0" fontId="22" fillId="0" borderId="34" xfId="0" applyFont="1" applyBorder="1" applyAlignment="1">
      <alignment horizontal="center" wrapText="1"/>
    </xf>
    <xf numFmtId="0" fontId="22" fillId="0" borderId="25" xfId="0" applyFont="1" applyBorder="1" applyAlignment="1">
      <alignment horizontal="center" vertical="center"/>
    </xf>
    <xf numFmtId="0" fontId="22" fillId="0" borderId="33" xfId="0" applyFont="1" applyBorder="1" applyAlignment="1">
      <alignment horizontal="center" vertical="center"/>
    </xf>
    <xf numFmtId="0" fontId="22" fillId="0" borderId="34" xfId="0" applyFont="1" applyBorder="1" applyAlignment="1">
      <alignment horizontal="center" vertical="center"/>
    </xf>
    <xf numFmtId="0" fontId="22" fillId="0" borderId="25" xfId="0" applyFont="1" applyBorder="1" applyAlignment="1">
      <alignment horizontal="center" vertical="center" wrapText="1"/>
    </xf>
    <xf numFmtId="0" fontId="22" fillId="0" borderId="33" xfId="0" applyFont="1" applyBorder="1" applyAlignment="1">
      <alignment horizontal="center" vertical="center" wrapText="1"/>
    </xf>
    <xf numFmtId="0" fontId="22" fillId="0" borderId="34" xfId="0" applyFont="1" applyBorder="1" applyAlignment="1">
      <alignment horizontal="center" vertical="center" wrapText="1"/>
    </xf>
    <xf numFmtId="0" fontId="4" fillId="0" borderId="25" xfId="0" applyFont="1" applyBorder="1" applyAlignment="1">
      <alignment horizontal="left" vertical="center"/>
    </xf>
    <xf numFmtId="0" fontId="4" fillId="0" borderId="19" xfId="0" applyFont="1" applyBorder="1" applyAlignment="1">
      <alignment horizontal="left" vertical="center"/>
    </xf>
    <xf numFmtId="0" fontId="76" fillId="0" borderId="4" xfId="0" applyFont="1" applyBorder="1" applyAlignment="1">
      <alignment horizontal="center" vertical="center"/>
    </xf>
    <xf numFmtId="0" fontId="76" fillId="0" borderId="17" xfId="0" applyFont="1" applyBorder="1" applyAlignment="1">
      <alignment horizontal="center" vertical="center"/>
    </xf>
    <xf numFmtId="0" fontId="14" fillId="0" borderId="61" xfId="0" applyFont="1" applyBorder="1" applyAlignment="1">
      <alignment horizontal="center" vertical="center" wrapText="1"/>
    </xf>
    <xf numFmtId="0" fontId="14" fillId="0" borderId="62" xfId="0" applyFont="1" applyBorder="1" applyAlignment="1">
      <alignment horizontal="center" vertical="center" wrapText="1"/>
    </xf>
    <xf numFmtId="0" fontId="76" fillId="0" borderId="31" xfId="0" applyFont="1" applyBorder="1" applyAlignment="1">
      <alignment horizontal="center" vertical="center"/>
    </xf>
    <xf numFmtId="0" fontId="76" fillId="0" borderId="32" xfId="0" applyFont="1" applyBorder="1" applyAlignment="1">
      <alignment horizontal="center" vertical="center"/>
    </xf>
    <xf numFmtId="0" fontId="76" fillId="0" borderId="28" xfId="0" applyFont="1" applyBorder="1" applyAlignment="1">
      <alignment horizontal="center" vertical="center"/>
    </xf>
    <xf numFmtId="0" fontId="76" fillId="0" borderId="10" xfId="0" applyFont="1" applyBorder="1" applyAlignment="1">
      <alignment horizontal="center" vertical="center"/>
    </xf>
    <xf numFmtId="0" fontId="76" fillId="0" borderId="29" xfId="0" applyFont="1" applyBorder="1" applyAlignment="1">
      <alignment horizontal="center" vertical="center"/>
    </xf>
    <xf numFmtId="0" fontId="76" fillId="0" borderId="30" xfId="0" applyFont="1" applyBorder="1" applyAlignment="1">
      <alignment horizontal="center" vertical="center"/>
    </xf>
    <xf numFmtId="0" fontId="76" fillId="0" borderId="3" xfId="0" applyFont="1" applyBorder="1" applyAlignment="1">
      <alignment horizontal="center" vertical="center"/>
    </xf>
    <xf numFmtId="0" fontId="76" fillId="0" borderId="16" xfId="0" applyFont="1" applyBorder="1" applyAlignment="1">
      <alignment horizontal="center" vertical="center"/>
    </xf>
    <xf numFmtId="0" fontId="4" fillId="0" borderId="28" xfId="0" applyFont="1" applyBorder="1" applyAlignment="1">
      <alignment horizontal="center" vertical="center"/>
    </xf>
    <xf numFmtId="0" fontId="4" fillId="0" borderId="10" xfId="0" applyFont="1" applyBorder="1" applyAlignment="1">
      <alignment horizontal="center" vertical="center"/>
    </xf>
    <xf numFmtId="0" fontId="87" fillId="0" borderId="0" xfId="0" applyFont="1" applyAlignment="1">
      <alignment horizontal="center" vertical="center"/>
    </xf>
    <xf numFmtId="0" fontId="25" fillId="0" borderId="2" xfId="0" applyFont="1" applyBorder="1" applyAlignment="1">
      <alignment horizontal="center" vertical="center" wrapText="1"/>
    </xf>
    <xf numFmtId="0" fontId="25" fillId="0" borderId="41" xfId="0" applyFont="1" applyBorder="1" applyAlignment="1">
      <alignment horizontal="center" vertical="center" wrapText="1"/>
    </xf>
    <xf numFmtId="0" fontId="0" fillId="0" borderId="11" xfId="0" applyFont="1" applyFill="1" applyBorder="1" applyAlignment="1">
      <alignment horizontal="left" wrapText="1"/>
    </xf>
    <xf numFmtId="0" fontId="0" fillId="0" borderId="12" xfId="0" applyFont="1" applyFill="1" applyBorder="1" applyAlignment="1">
      <alignment horizontal="left" wrapText="1"/>
    </xf>
    <xf numFmtId="0" fontId="0" fillId="0" borderId="13" xfId="0" applyFont="1" applyFill="1" applyBorder="1" applyAlignment="1">
      <alignment horizontal="left" wrapText="1"/>
    </xf>
    <xf numFmtId="0" fontId="14" fillId="0" borderId="4" xfId="0" applyFont="1" applyBorder="1" applyAlignment="1">
      <alignment horizontal="center" vertical="center"/>
    </xf>
    <xf numFmtId="0" fontId="14" fillId="0" borderId="17" xfId="0" applyFont="1" applyBorder="1" applyAlignment="1">
      <alignment horizontal="center" vertical="center"/>
    </xf>
    <xf numFmtId="0" fontId="4" fillId="0" borderId="5" xfId="0" applyFont="1" applyBorder="1" applyAlignment="1">
      <alignment horizontal="center" vertical="center"/>
    </xf>
    <xf numFmtId="0" fontId="4" fillId="0" borderId="18" xfId="0" applyFont="1" applyBorder="1" applyAlignment="1">
      <alignment horizontal="center" vertical="center"/>
    </xf>
    <xf numFmtId="0" fontId="14" fillId="0" borderId="26" xfId="0" applyFont="1" applyBorder="1" applyAlignment="1">
      <alignment horizontal="center" vertical="center"/>
    </xf>
    <xf numFmtId="0" fontId="14" fillId="0" borderId="27"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4" fillId="0" borderId="4" xfId="0" applyFont="1" applyBorder="1" applyAlignment="1">
      <alignment horizontal="center" vertical="center"/>
    </xf>
    <xf numFmtId="0" fontId="4" fillId="0" borderId="17" xfId="0" applyFont="1" applyBorder="1" applyAlignment="1">
      <alignment horizontal="center" vertical="center"/>
    </xf>
    <xf numFmtId="0" fontId="14" fillId="0" borderId="5" xfId="0" applyFont="1" applyBorder="1" applyAlignment="1">
      <alignment horizontal="center"/>
    </xf>
    <xf numFmtId="0" fontId="14" fillId="0" borderId="18" xfId="0" applyFont="1" applyBorder="1" applyAlignment="1">
      <alignment horizontal="center"/>
    </xf>
    <xf numFmtId="0" fontId="44" fillId="0" borderId="0" xfId="0" applyFont="1" applyAlignment="1">
      <alignment horizontal="center" wrapText="1"/>
    </xf>
    <xf numFmtId="0" fontId="44" fillId="0" borderId="25" xfId="0" applyFont="1" applyBorder="1" applyAlignment="1">
      <alignment horizontal="center" wrapText="1"/>
    </xf>
    <xf numFmtId="0" fontId="44" fillId="0" borderId="38" xfId="0" applyFont="1" applyBorder="1" applyAlignment="1">
      <alignment horizontal="center" wrapText="1"/>
    </xf>
    <xf numFmtId="0" fontId="8" fillId="0" borderId="11" xfId="0" applyFont="1" applyBorder="1" applyAlignment="1">
      <alignment horizontal="left" vertical="center"/>
    </xf>
    <xf numFmtId="0" fontId="8" fillId="0" borderId="12" xfId="0" applyFont="1" applyBorder="1" applyAlignment="1">
      <alignment horizontal="left" vertical="center"/>
    </xf>
    <xf numFmtId="0" fontId="8" fillId="0" borderId="13" xfId="0" applyFont="1" applyBorder="1" applyAlignment="1">
      <alignment horizontal="left" vertical="center"/>
    </xf>
    <xf numFmtId="0" fontId="50" fillId="2" borderId="54" xfId="0" applyFont="1" applyFill="1" applyBorder="1" applyAlignment="1">
      <alignment horizontal="center"/>
    </xf>
    <xf numFmtId="0" fontId="50" fillId="2" borderId="0" xfId="0" applyFont="1" applyFill="1" applyBorder="1" applyAlignment="1">
      <alignment horizontal="center"/>
    </xf>
    <xf numFmtId="0" fontId="4" fillId="0" borderId="0" xfId="0" applyFont="1" applyBorder="1" applyAlignment="1">
      <alignment horizontal="left" vertical="center"/>
    </xf>
    <xf numFmtId="0" fontId="9" fillId="0" borderId="0" xfId="0" applyFont="1" applyBorder="1" applyAlignment="1">
      <alignment horizontal="left" vertical="center"/>
    </xf>
    <xf numFmtId="0" fontId="8" fillId="0" borderId="11" xfId="0" applyFont="1" applyBorder="1" applyAlignment="1">
      <alignment horizontal="left" vertical="center" wrapText="1"/>
    </xf>
    <xf numFmtId="0" fontId="22" fillId="0" borderId="54" xfId="0" applyFont="1" applyBorder="1" applyAlignment="1">
      <alignment horizontal="left" wrapText="1"/>
    </xf>
    <xf numFmtId="0" fontId="22" fillId="0" borderId="0" xfId="0" applyFont="1" applyBorder="1" applyAlignment="1">
      <alignment horizontal="left" wrapText="1"/>
    </xf>
    <xf numFmtId="0" fontId="0" fillId="0" borderId="54" xfId="0" applyFill="1" applyBorder="1" applyAlignment="1">
      <alignment horizontal="left" wrapText="1" indent="3"/>
    </xf>
    <xf numFmtId="0" fontId="0" fillId="0" borderId="0" xfId="0" applyFill="1" applyBorder="1" applyAlignment="1">
      <alignment horizontal="left" wrapText="1" indent="3"/>
    </xf>
    <xf numFmtId="0" fontId="0" fillId="0" borderId="51" xfId="0" applyFill="1" applyBorder="1" applyAlignment="1">
      <alignment horizontal="left" wrapText="1" indent="3"/>
    </xf>
    <xf numFmtId="0" fontId="22" fillId="0" borderId="0" xfId="0" applyFont="1"/>
    <xf numFmtId="0" fontId="22" fillId="0" borderId="0" xfId="0" applyFont="1" applyFill="1" applyBorder="1"/>
    <xf numFmtId="0" fontId="4" fillId="0" borderId="0" xfId="0" applyFont="1" applyBorder="1" applyAlignment="1">
      <alignment horizontal="justify" vertical="center"/>
    </xf>
    <xf numFmtId="0" fontId="0" fillId="0" borderId="0" xfId="0" applyFill="1" applyBorder="1"/>
    <xf numFmtId="0" fontId="0" fillId="0" borderId="0" xfId="0"/>
    <xf numFmtId="0" fontId="72" fillId="0" borderId="0" xfId="0" applyFont="1" applyBorder="1"/>
    <xf numFmtId="0" fontId="72" fillId="0" borderId="0" xfId="0" applyFont="1"/>
    <xf numFmtId="0" fontId="9" fillId="0" borderId="0" xfId="0" applyFont="1" applyBorder="1" applyAlignment="1">
      <alignment horizontal="justify" vertical="center"/>
    </xf>
    <xf numFmtId="0" fontId="72" fillId="0" borderId="0" xfId="0" applyFont="1" applyBorder="1" applyAlignment="1">
      <alignment horizontal="left" vertical="center"/>
    </xf>
    <xf numFmtId="0" fontId="72" fillId="0" borderId="0" xfId="0" applyFont="1" applyBorder="1" applyAlignment="1">
      <alignment horizontal="justify" vertical="center"/>
    </xf>
    <xf numFmtId="0" fontId="35" fillId="0" borderId="51" xfId="0" applyFont="1" applyBorder="1" applyAlignment="1">
      <alignment horizontal="left" vertical="center" wrapText="1" indent="1"/>
    </xf>
    <xf numFmtId="0" fontId="35" fillId="0" borderId="0" xfId="0" applyFont="1" applyAlignment="1">
      <alignment horizontal="left" vertical="center" wrapText="1" indent="1"/>
    </xf>
    <xf numFmtId="0" fontId="0" fillId="0" borderId="51" xfId="0" applyBorder="1" applyAlignment="1">
      <alignment horizontal="left" vertical="center" wrapText="1"/>
    </xf>
    <xf numFmtId="0" fontId="0" fillId="0" borderId="0" xfId="0" applyAlignment="1">
      <alignment horizontal="left" vertical="center" wrapText="1"/>
    </xf>
    <xf numFmtId="0" fontId="72" fillId="0" borderId="33" xfId="0" applyFont="1" applyBorder="1" applyAlignment="1">
      <alignment horizontal="justify" vertical="center"/>
    </xf>
    <xf numFmtId="0" fontId="72" fillId="0" borderId="33" xfId="0" applyFont="1" applyBorder="1"/>
    <xf numFmtId="0" fontId="0" fillId="0" borderId="0" xfId="0" applyAlignment="1">
      <alignment horizontal="left"/>
    </xf>
    <xf numFmtId="0" fontId="61" fillId="0" borderId="33" xfId="0" applyFont="1" applyBorder="1" applyAlignment="1">
      <alignment horizontal="left" vertical="center"/>
    </xf>
    <xf numFmtId="0" fontId="61" fillId="0" borderId="0" xfId="0" applyFont="1" applyBorder="1" applyAlignment="1">
      <alignment horizontal="left" vertical="center"/>
    </xf>
    <xf numFmtId="0" fontId="0" fillId="0" borderId="0" xfId="0" applyBorder="1" applyAlignment="1">
      <alignment horizontal="left"/>
    </xf>
    <xf numFmtId="0" fontId="48" fillId="0" borderId="0" xfId="0" applyFont="1" applyAlignment="1">
      <alignment horizontal="left"/>
    </xf>
    <xf numFmtId="0" fontId="48" fillId="0" borderId="0" xfId="0" applyFont="1" applyBorder="1" applyAlignment="1">
      <alignment horizontal="left"/>
    </xf>
    <xf numFmtId="0" fontId="48" fillId="0" borderId="33" xfId="0" applyFont="1" applyBorder="1" applyAlignment="1">
      <alignment horizontal="left" vertical="center"/>
    </xf>
    <xf numFmtId="0" fontId="4" fillId="0" borderId="0" xfId="0" applyFont="1" applyFill="1" applyBorder="1"/>
    <xf numFmtId="0" fontId="50" fillId="2" borderId="51" xfId="0" applyFont="1" applyFill="1" applyBorder="1" applyAlignment="1">
      <alignment horizontal="center"/>
    </xf>
    <xf numFmtId="0" fontId="8" fillId="0" borderId="51" xfId="0" applyFont="1" applyBorder="1" applyAlignment="1">
      <alignment horizontal="left" vertical="center"/>
    </xf>
    <xf numFmtId="0" fontId="8" fillId="0" borderId="0" xfId="0" applyFont="1" applyBorder="1" applyAlignment="1">
      <alignment horizontal="left" vertical="center"/>
    </xf>
    <xf numFmtId="0" fontId="82" fillId="0" borderId="11" xfId="1" applyFont="1" applyBorder="1" applyAlignment="1">
      <alignment horizontal="left" vertical="center"/>
    </xf>
    <xf numFmtId="0" fontId="82" fillId="0" borderId="35" xfId="1" applyFont="1" applyBorder="1" applyAlignment="1">
      <alignment horizontal="left" vertical="center"/>
    </xf>
    <xf numFmtId="0" fontId="82" fillId="0" borderId="0" xfId="1" applyFont="1" applyBorder="1" applyAlignment="1">
      <alignment horizontal="left" vertical="center"/>
    </xf>
    <xf numFmtId="0" fontId="33" fillId="2" borderId="51" xfId="0" applyFont="1" applyFill="1" applyBorder="1" applyAlignment="1">
      <alignment horizontal="center"/>
    </xf>
    <xf numFmtId="0" fontId="33" fillId="2" borderId="0" xfId="0" applyFont="1" applyFill="1" applyBorder="1" applyAlignment="1">
      <alignment horizontal="center"/>
    </xf>
    <xf numFmtId="0" fontId="4" fillId="0" borderId="0" xfId="0" applyFont="1" applyFill="1" applyBorder="1" applyAlignment="1">
      <alignment horizontal="justify" vertical="center"/>
    </xf>
    <xf numFmtId="0" fontId="49" fillId="0" borderId="0" xfId="0" applyFont="1" applyFill="1" applyBorder="1" applyAlignment="1">
      <alignment horizontal="left" vertical="center"/>
    </xf>
    <xf numFmtId="0" fontId="49" fillId="0" borderId="0" xfId="0" applyFont="1" applyBorder="1" applyAlignment="1">
      <alignment horizontal="left" vertical="center"/>
    </xf>
    <xf numFmtId="0" fontId="19" fillId="0" borderId="0" xfId="0" applyFont="1" applyBorder="1" applyAlignment="1">
      <alignment horizontal="left" vertical="center"/>
    </xf>
    <xf numFmtId="0" fontId="8" fillId="0" borderId="12" xfId="0" applyFont="1" applyBorder="1" applyAlignment="1">
      <alignment horizontal="left" vertical="center" wrapText="1"/>
    </xf>
    <xf numFmtId="0" fontId="8" fillId="0" borderId="13" xfId="0" applyFont="1" applyBorder="1" applyAlignment="1">
      <alignment horizontal="left" vertical="center" wrapText="1"/>
    </xf>
    <xf numFmtId="0" fontId="16" fillId="0" borderId="11" xfId="0" applyFont="1" applyBorder="1" applyAlignment="1">
      <alignment horizontal="left"/>
    </xf>
    <xf numFmtId="0" fontId="16" fillId="0" borderId="13" xfId="0" applyFont="1" applyBorder="1" applyAlignment="1">
      <alignment horizontal="left"/>
    </xf>
    <xf numFmtId="0" fontId="8" fillId="0" borderId="11" xfId="0" applyFont="1" applyBorder="1" applyAlignment="1">
      <alignment horizontal="left"/>
    </xf>
    <xf numFmtId="0" fontId="8" fillId="0" borderId="12" xfId="0" applyFont="1" applyBorder="1" applyAlignment="1">
      <alignment horizontal="left"/>
    </xf>
    <xf numFmtId="0" fontId="8" fillId="0" borderId="13" xfId="0" applyFont="1" applyBorder="1" applyAlignment="1">
      <alignment horizontal="left"/>
    </xf>
    <xf numFmtId="0" fontId="61" fillId="0" borderId="0" xfId="0" applyFont="1" applyAlignment="1">
      <alignment horizontal="left"/>
    </xf>
    <xf numFmtId="0" fontId="22" fillId="0" borderId="0" xfId="0" applyFont="1" applyAlignment="1">
      <alignment horizontal="left"/>
    </xf>
    <xf numFmtId="0" fontId="0" fillId="0" borderId="0" xfId="0" applyFill="1" applyBorder="1" applyAlignment="1">
      <alignment horizontal="left"/>
    </xf>
    <xf numFmtId="0" fontId="61" fillId="0" borderId="33" xfId="0" applyFont="1" applyBorder="1" applyAlignment="1">
      <alignment horizontal="left"/>
    </xf>
    <xf numFmtId="0" fontId="4" fillId="0" borderId="0" xfId="0" applyFont="1" applyBorder="1" applyAlignment="1">
      <alignment horizontal="left"/>
    </xf>
    <xf numFmtId="0" fontId="0" fillId="0" borderId="25" xfId="0" applyFont="1" applyBorder="1" applyAlignment="1">
      <alignment horizontal="left" vertical="center"/>
    </xf>
    <xf numFmtId="0" fontId="0" fillId="0" borderId="19" xfId="0" applyFont="1" applyBorder="1" applyAlignment="1">
      <alignment horizontal="left" vertical="center"/>
    </xf>
    <xf numFmtId="0" fontId="0" fillId="0" borderId="11" xfId="0" applyFont="1" applyBorder="1" applyAlignment="1">
      <alignment horizontal="center" wrapText="1"/>
    </xf>
    <xf numFmtId="0" fontId="0" fillId="0" borderId="12" xfId="0" applyFont="1" applyBorder="1" applyAlignment="1">
      <alignment horizontal="center" wrapText="1"/>
    </xf>
    <xf numFmtId="0" fontId="0" fillId="0" borderId="13" xfId="0" applyFont="1" applyBorder="1" applyAlignment="1">
      <alignment horizontal="center" wrapText="1"/>
    </xf>
    <xf numFmtId="0" fontId="0" fillId="0" borderId="25" xfId="0" applyFont="1" applyBorder="1" applyAlignment="1">
      <alignment horizontal="center" vertical="center"/>
    </xf>
    <xf numFmtId="0" fontId="0" fillId="0" borderId="33" xfId="0" applyFont="1" applyBorder="1" applyAlignment="1">
      <alignment horizontal="center" vertical="center"/>
    </xf>
    <xf numFmtId="0" fontId="0" fillId="0" borderId="34" xfId="0" applyFont="1" applyBorder="1" applyAlignment="1">
      <alignment horizontal="center" vertical="center"/>
    </xf>
    <xf numFmtId="0" fontId="14" fillId="0" borderId="28" xfId="0" applyFont="1" applyBorder="1" applyAlignment="1">
      <alignment horizontal="center" vertical="center"/>
    </xf>
    <xf numFmtId="0" fontId="14" fillId="0" borderId="10" xfId="0" applyFont="1" applyBorder="1" applyAlignment="1">
      <alignment horizontal="center" vertical="center"/>
    </xf>
    <xf numFmtId="0" fontId="0" fillId="0" borderId="4" xfId="0" applyFont="1" applyBorder="1" applyAlignment="1">
      <alignment horizontal="center" vertical="center"/>
    </xf>
    <xf numFmtId="0" fontId="0" fillId="0" borderId="17" xfId="0" applyFont="1" applyBorder="1" applyAlignment="1">
      <alignment horizontal="center" vertical="center"/>
    </xf>
    <xf numFmtId="0" fontId="0" fillId="0" borderId="28" xfId="0" applyFont="1" applyBorder="1" applyAlignment="1">
      <alignment horizontal="center" vertical="center"/>
    </xf>
    <xf numFmtId="0" fontId="0" fillId="0" borderId="10" xfId="0" applyFont="1" applyBorder="1" applyAlignment="1">
      <alignment horizontal="center" vertical="center"/>
    </xf>
    <xf numFmtId="0" fontId="0" fillId="0" borderId="5" xfId="0" applyFont="1" applyBorder="1" applyAlignment="1">
      <alignment horizontal="center" vertical="center"/>
    </xf>
    <xf numFmtId="0" fontId="0" fillId="0" borderId="18" xfId="0" applyFont="1" applyBorder="1" applyAlignment="1">
      <alignment horizontal="center" vertical="center"/>
    </xf>
    <xf numFmtId="0" fontId="14" fillId="0" borderId="3" xfId="0" applyFont="1" applyBorder="1" applyAlignment="1">
      <alignment horizontal="center" vertical="center"/>
    </xf>
    <xf numFmtId="0" fontId="14" fillId="0" borderId="16" xfId="0" applyFont="1" applyBorder="1" applyAlignment="1">
      <alignment horizontal="center" vertical="center"/>
    </xf>
    <xf numFmtId="0" fontId="14" fillId="0" borderId="5"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31" xfId="0" applyFont="1" applyBorder="1" applyAlignment="1">
      <alignment horizontal="center" vertical="center"/>
    </xf>
    <xf numFmtId="0" fontId="14" fillId="0" borderId="32" xfId="0" applyFont="1" applyBorder="1" applyAlignment="1">
      <alignment horizontal="center" vertical="center"/>
    </xf>
    <xf numFmtId="0" fontId="0" fillId="0" borderId="25" xfId="0" applyFont="1" applyBorder="1" applyAlignment="1">
      <alignment horizontal="center" vertical="center" wrapText="1"/>
    </xf>
    <xf numFmtId="0" fontId="0" fillId="0" borderId="33" xfId="0" applyFont="1" applyBorder="1" applyAlignment="1">
      <alignment horizontal="center" vertical="center" wrapText="1"/>
    </xf>
    <xf numFmtId="0" fontId="0" fillId="0" borderId="34" xfId="0" applyFont="1" applyBorder="1" applyAlignment="1">
      <alignment horizontal="center" vertical="center" wrapText="1"/>
    </xf>
    <xf numFmtId="0" fontId="14" fillId="0" borderId="29" xfId="0" applyFont="1" applyBorder="1" applyAlignment="1">
      <alignment horizontal="center" vertical="center"/>
    </xf>
    <xf numFmtId="0" fontId="14" fillId="0" borderId="30" xfId="0" applyFont="1" applyBorder="1" applyAlignment="1">
      <alignment horizontal="center" vertical="center"/>
    </xf>
    <xf numFmtId="0" fontId="0" fillId="0" borderId="11"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13" xfId="0" applyFont="1" applyBorder="1" applyAlignment="1">
      <alignment horizontal="center" vertical="center" wrapText="1"/>
    </xf>
    <xf numFmtId="0" fontId="12" fillId="0" borderId="11"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14" fillId="0" borderId="5" xfId="0" applyFont="1" applyBorder="1" applyAlignment="1">
      <alignment horizontal="center" vertical="center"/>
    </xf>
    <xf numFmtId="0" fontId="14" fillId="0" borderId="18" xfId="0" applyFont="1" applyBorder="1" applyAlignment="1">
      <alignment horizontal="center" vertic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gehin/AppData/Local/Temp/matrice_GE_competence_capacit&#233;_connaissance_25mai%2020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NTHESE"/>
      <sheetName val="SYNTHESE NEW"/>
      <sheetName val="Listes"/>
      <sheetName val="SSMT"/>
      <sheetName val="TC1"/>
      <sheetName val="MA1"/>
      <sheetName val="ETEP1-F"/>
      <sheetName val="EC1"/>
      <sheetName val="IF1"/>
      <sheetName val="HU1"/>
      <sheetName val="AU1-F"/>
      <sheetName val="TT"/>
      <sheetName val="MA2"/>
      <sheetName val="ETEP2"/>
      <sheetName val="EC2-F"/>
      <sheetName val="IF2"/>
      <sheetName val="HU2"/>
      <sheetName val="AU2-F"/>
      <sheetName val="AU3-F"/>
      <sheetName val="MA3"/>
      <sheetName val="TS"/>
      <sheetName val="ETEP3-F"/>
      <sheetName val="TC2"/>
      <sheetName val="IF3"/>
      <sheetName val="HU3"/>
      <sheetName val="IF4"/>
      <sheetName val="AU4-F"/>
      <sheetName val="MA4"/>
      <sheetName val="TC3"/>
      <sheetName val="EC3"/>
      <sheetName val="HU4"/>
      <sheetName val="Op C2E-F"/>
      <sheetName val="Op TDSI"/>
      <sheetName val="Op SEI"/>
      <sheetName val="Op ISIP-F"/>
      <sheetName val="Op CCSA-F"/>
      <sheetName val="Op SEC"/>
      <sheetName val="Feuil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3">
          <cell r="E3" t="str">
            <v>C</v>
          </cell>
          <cell r="F3" t="str">
            <v>Capacité</v>
          </cell>
        </row>
        <row r="4">
          <cell r="E4" t="str">
            <v>M</v>
          </cell>
          <cell r="F4" t="str">
            <v>Connaissance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6.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0.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1.bin"/></Relationships>
</file>

<file path=xl/worksheets/_rels/sheet38.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9.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2:AG66"/>
  <sheetViews>
    <sheetView topLeftCell="B1" zoomScale="80" zoomScaleNormal="80" workbookViewId="0">
      <selection activeCell="AD56" sqref="B2:AD56"/>
    </sheetView>
  </sheetViews>
  <sheetFormatPr baseColWidth="10" defaultColWidth="11.5" defaultRowHeight="15"/>
  <cols>
    <col min="1" max="1" width="18.83203125" style="468" customWidth="1"/>
    <col min="2" max="2" width="15.1640625" style="17" bestFit="1" customWidth="1"/>
    <col min="3" max="3" width="6.5" style="17" customWidth="1"/>
    <col min="4" max="4" width="56.1640625" style="468" customWidth="1"/>
    <col min="5" max="5" width="7.5" style="22" customWidth="1"/>
    <col min="6" max="6" width="8.5" style="2" customWidth="1"/>
    <col min="7" max="7" width="6.83203125" style="29" customWidth="1"/>
    <col min="8" max="11" width="6.83203125" style="468" bestFit="1" customWidth="1"/>
    <col min="12" max="12" width="4" style="468" bestFit="1" customWidth="1"/>
    <col min="13" max="13" width="6.83203125" style="55" bestFit="1" customWidth="1"/>
    <col min="14" max="14" width="1" style="469" customWidth="1"/>
    <col min="15" max="15" width="12.5" style="468" bestFit="1" customWidth="1"/>
    <col min="16" max="16" width="9.6640625" style="468" bestFit="1" customWidth="1"/>
    <col min="17" max="17" width="12.5" style="468" bestFit="1" customWidth="1"/>
    <col min="18" max="18" width="15.5" style="468" bestFit="1" customWidth="1"/>
    <col min="19" max="21" width="12.5" style="468" bestFit="1" customWidth="1"/>
    <col min="22" max="22" width="9.6640625" style="467" bestFit="1" customWidth="1"/>
    <col min="23" max="23" width="1" style="469" customWidth="1"/>
    <col min="24" max="25" width="6.83203125" style="468" bestFit="1" customWidth="1"/>
    <col min="26" max="26" width="5.5" style="468" customWidth="1"/>
    <col min="27" max="28" width="6.83203125" style="468" bestFit="1" customWidth="1"/>
    <col min="29" max="29" width="9.6640625" style="468" bestFit="1" customWidth="1"/>
    <col min="30" max="30" width="6.83203125" style="468" bestFit="1" customWidth="1"/>
    <col min="31" max="16384" width="11.5" style="468"/>
  </cols>
  <sheetData>
    <row r="2" spans="2:33" ht="34.5" customHeight="1" thickBot="1">
      <c r="D2" s="1017" t="s">
        <v>1461</v>
      </c>
      <c r="E2" s="1017"/>
      <c r="F2" s="1017"/>
      <c r="G2" s="1017"/>
      <c r="H2" s="1017"/>
      <c r="I2" s="1017"/>
      <c r="J2" s="1017"/>
      <c r="K2" s="1017"/>
      <c r="L2" s="1017"/>
      <c r="M2" s="1017"/>
      <c r="N2" s="1017"/>
      <c r="O2" s="1017"/>
      <c r="P2" s="1017"/>
      <c r="Q2" s="1017"/>
      <c r="R2" s="1017"/>
      <c r="S2" s="1017"/>
      <c r="T2" s="1017"/>
      <c r="U2" s="1017"/>
      <c r="V2" s="1017"/>
      <c r="W2" s="1017"/>
      <c r="X2" s="1017"/>
      <c r="Y2" s="1017"/>
      <c r="Z2" s="1017"/>
      <c r="AA2" s="1017"/>
      <c r="AB2" s="1017"/>
      <c r="AC2" s="1017"/>
      <c r="AD2" s="1017"/>
    </row>
    <row r="3" spans="2:33" ht="53.25" customHeight="1" thickBot="1">
      <c r="D3" s="1018" t="s">
        <v>1456</v>
      </c>
      <c r="H3" s="992" t="s">
        <v>499</v>
      </c>
      <c r="I3" s="993"/>
      <c r="J3" s="993"/>
      <c r="K3" s="993"/>
      <c r="L3" s="993"/>
      <c r="M3" s="994"/>
      <c r="N3" s="671"/>
      <c r="O3" s="995" t="s">
        <v>67</v>
      </c>
      <c r="P3" s="996"/>
      <c r="Q3" s="996"/>
      <c r="R3" s="996"/>
      <c r="S3" s="996"/>
      <c r="T3" s="996"/>
      <c r="U3" s="996"/>
      <c r="V3" s="997"/>
      <c r="W3" s="671"/>
      <c r="X3" s="998" t="s">
        <v>489</v>
      </c>
      <c r="Y3" s="999"/>
      <c r="Z3" s="999"/>
      <c r="AA3" s="999"/>
      <c r="AB3" s="999"/>
      <c r="AC3" s="999"/>
      <c r="AD3" s="1000"/>
    </row>
    <row r="4" spans="2:33" ht="194.25" customHeight="1" thickBot="1">
      <c r="D4" s="1019"/>
      <c r="F4" s="970"/>
      <c r="H4" s="962" t="s">
        <v>1450</v>
      </c>
      <c r="I4" s="963" t="s">
        <v>1451</v>
      </c>
      <c r="J4" s="963" t="s">
        <v>1452</v>
      </c>
      <c r="K4" s="963" t="s">
        <v>1453</v>
      </c>
      <c r="L4" s="963" t="s">
        <v>1454</v>
      </c>
      <c r="M4" s="964" t="s">
        <v>1455</v>
      </c>
      <c r="N4" s="965"/>
      <c r="O4" s="971" t="s">
        <v>480</v>
      </c>
      <c r="P4" s="972" t="s">
        <v>476</v>
      </c>
      <c r="Q4" s="972" t="s">
        <v>477</v>
      </c>
      <c r="R4" s="972" t="s">
        <v>124</v>
      </c>
      <c r="S4" s="972" t="s">
        <v>64</v>
      </c>
      <c r="T4" s="972" t="s">
        <v>478</v>
      </c>
      <c r="U4" s="972" t="s">
        <v>71</v>
      </c>
      <c r="V4" s="973" t="s">
        <v>479</v>
      </c>
      <c r="W4" s="965"/>
      <c r="X4" s="26" t="s">
        <v>490</v>
      </c>
      <c r="Y4" s="361" t="s">
        <v>491</v>
      </c>
      <c r="Z4" s="27" t="s">
        <v>492</v>
      </c>
      <c r="AA4" s="27" t="s">
        <v>493</v>
      </c>
      <c r="AB4" s="27" t="s">
        <v>494</v>
      </c>
      <c r="AC4" s="27" t="s">
        <v>495</v>
      </c>
      <c r="AD4" s="28" t="s">
        <v>496</v>
      </c>
    </row>
    <row r="5" spans="2:33" ht="16" thickBot="1">
      <c r="F5" s="97" t="s">
        <v>55</v>
      </c>
      <c r="G5" s="98" t="s">
        <v>62</v>
      </c>
      <c r="H5" s="2"/>
      <c r="I5" s="2"/>
      <c r="J5" s="2"/>
      <c r="K5" s="818"/>
      <c r="L5" s="818"/>
      <c r="M5" s="819"/>
    </row>
    <row r="6" spans="2:33" ht="15" customHeight="1">
      <c r="B6" s="99" t="s">
        <v>105</v>
      </c>
      <c r="C6" s="989" t="s">
        <v>99</v>
      </c>
      <c r="D6" s="561" t="s">
        <v>4</v>
      </c>
      <c r="E6" s="562" t="s">
        <v>3</v>
      </c>
      <c r="F6" s="563">
        <v>4</v>
      </c>
      <c r="G6" s="585">
        <v>66</v>
      </c>
      <c r="H6" s="46"/>
      <c r="I6" s="61"/>
      <c r="J6" s="61"/>
      <c r="K6" s="822"/>
      <c r="L6" s="949"/>
      <c r="M6" s="45"/>
      <c r="N6" s="148"/>
      <c r="O6" s="842"/>
      <c r="P6" s="122"/>
      <c r="Q6" s="122"/>
      <c r="R6" s="122">
        <v>2</v>
      </c>
      <c r="S6" s="122"/>
      <c r="T6" s="122">
        <v>2</v>
      </c>
      <c r="U6" s="122"/>
      <c r="V6" s="123"/>
      <c r="W6" s="148"/>
      <c r="X6" s="46"/>
      <c r="Y6" s="61"/>
      <c r="Z6" s="61"/>
      <c r="AA6" s="61"/>
      <c r="AB6" s="61"/>
      <c r="AC6" s="61"/>
      <c r="AD6" s="870"/>
    </row>
    <row r="7" spans="2:33" ht="15" customHeight="1">
      <c r="B7" s="100" t="s">
        <v>58</v>
      </c>
      <c r="C7" s="990"/>
      <c r="D7" s="564" t="s">
        <v>7</v>
      </c>
      <c r="E7" s="565" t="s">
        <v>8</v>
      </c>
      <c r="F7" s="566">
        <v>2</v>
      </c>
      <c r="G7" s="582">
        <v>31</v>
      </c>
      <c r="H7" s="200">
        <v>2</v>
      </c>
      <c r="I7" s="214">
        <v>1</v>
      </c>
      <c r="J7" s="201"/>
      <c r="K7" s="821">
        <v>1</v>
      </c>
      <c r="L7" s="950" t="s">
        <v>409</v>
      </c>
      <c r="M7" s="203"/>
      <c r="N7" s="186"/>
      <c r="O7" s="835">
        <v>2</v>
      </c>
      <c r="P7" s="214">
        <v>2</v>
      </c>
      <c r="Q7" s="214">
        <v>1</v>
      </c>
      <c r="R7" s="214"/>
      <c r="S7" s="214">
        <v>1</v>
      </c>
      <c r="T7" s="214"/>
      <c r="U7" s="214"/>
      <c r="V7" s="215"/>
      <c r="W7" s="186"/>
      <c r="X7" s="200"/>
      <c r="Y7" s="201"/>
      <c r="Z7" s="201"/>
      <c r="AA7" s="201"/>
      <c r="AB7" s="201"/>
      <c r="AC7" s="201"/>
      <c r="AD7" s="871"/>
      <c r="AG7" s="337"/>
    </row>
    <row r="8" spans="2:33" ht="15" customHeight="1" thickBot="1">
      <c r="B8" s="100"/>
      <c r="C8" s="991"/>
      <c r="D8" s="567" t="s">
        <v>10</v>
      </c>
      <c r="E8" s="568" t="s">
        <v>11</v>
      </c>
      <c r="F8" s="569">
        <v>4</v>
      </c>
      <c r="G8" s="586">
        <v>58</v>
      </c>
      <c r="H8" s="49"/>
      <c r="I8" s="47"/>
      <c r="J8" s="47"/>
      <c r="K8" s="831"/>
      <c r="L8" s="951"/>
      <c r="M8" s="48"/>
      <c r="N8" s="150"/>
      <c r="O8" s="126"/>
      <c r="P8" s="119"/>
      <c r="Q8" s="119"/>
      <c r="R8" s="119">
        <v>2</v>
      </c>
      <c r="S8" s="119"/>
      <c r="T8" s="119"/>
      <c r="U8" s="119">
        <v>1</v>
      </c>
      <c r="V8" s="120"/>
      <c r="W8" s="150"/>
      <c r="X8" s="92"/>
      <c r="Y8" s="93"/>
      <c r="Z8" s="93" t="s">
        <v>409</v>
      </c>
      <c r="AA8" s="93"/>
      <c r="AB8" s="93"/>
      <c r="AC8" s="93"/>
      <c r="AD8" s="872"/>
      <c r="AG8" s="337"/>
    </row>
    <row r="9" spans="2:33" ht="16">
      <c r="B9" s="100"/>
      <c r="C9" s="989" t="s">
        <v>100</v>
      </c>
      <c r="D9" s="581" t="s">
        <v>2</v>
      </c>
      <c r="E9" s="562" t="s">
        <v>5</v>
      </c>
      <c r="F9" s="563">
        <v>4</v>
      </c>
      <c r="G9" s="585">
        <v>60</v>
      </c>
      <c r="H9" s="824"/>
      <c r="I9" s="825"/>
      <c r="J9" s="825"/>
      <c r="K9" s="826"/>
      <c r="L9" s="952"/>
      <c r="M9" s="827"/>
      <c r="N9" s="148"/>
      <c r="O9" s="843"/>
      <c r="P9" s="122">
        <v>2</v>
      </c>
      <c r="Q9" s="122">
        <v>2</v>
      </c>
      <c r="R9" s="122"/>
      <c r="S9" s="122"/>
      <c r="T9" s="122"/>
      <c r="U9" s="122"/>
      <c r="V9" s="123"/>
      <c r="W9" s="148"/>
      <c r="X9" s="46"/>
      <c r="Y9" s="61"/>
      <c r="Z9" s="61"/>
      <c r="AA9" s="61"/>
      <c r="AB9" s="61" t="s">
        <v>409</v>
      </c>
      <c r="AC9" s="61"/>
      <c r="AD9" s="870"/>
      <c r="AG9" s="337"/>
    </row>
    <row r="10" spans="2:33" ht="16">
      <c r="B10" s="100"/>
      <c r="C10" s="990"/>
      <c r="D10" s="578" t="s">
        <v>0</v>
      </c>
      <c r="E10" s="565" t="s">
        <v>6</v>
      </c>
      <c r="F10" s="566">
        <v>4</v>
      </c>
      <c r="G10" s="582">
        <v>72</v>
      </c>
      <c r="H10" s="37">
        <v>2</v>
      </c>
      <c r="I10" s="38">
        <v>2</v>
      </c>
      <c r="J10" s="38">
        <v>1</v>
      </c>
      <c r="K10" s="820"/>
      <c r="L10" s="953" t="s">
        <v>409</v>
      </c>
      <c r="M10" s="39" t="s">
        <v>409</v>
      </c>
      <c r="N10" s="36"/>
      <c r="O10" s="142">
        <v>2</v>
      </c>
      <c r="P10" s="124">
        <v>1</v>
      </c>
      <c r="Q10" s="124"/>
      <c r="R10" s="124"/>
      <c r="S10" s="124"/>
      <c r="T10" s="124"/>
      <c r="U10" s="124"/>
      <c r="V10" s="125"/>
      <c r="W10" s="36"/>
      <c r="X10" s="37"/>
      <c r="Y10" s="38"/>
      <c r="Z10" s="38"/>
      <c r="AA10" s="38"/>
      <c r="AB10" s="38" t="s">
        <v>409</v>
      </c>
      <c r="AC10" s="38"/>
      <c r="AD10" s="231"/>
      <c r="AG10" s="337"/>
    </row>
    <row r="11" spans="2:33" ht="17" thickBot="1">
      <c r="B11" s="100"/>
      <c r="C11" s="991"/>
      <c r="D11" s="567" t="s">
        <v>9</v>
      </c>
      <c r="E11" s="568" t="s">
        <v>1</v>
      </c>
      <c r="F11" s="569">
        <v>4</v>
      </c>
      <c r="G11" s="586">
        <v>59</v>
      </c>
      <c r="H11" s="49">
        <v>2</v>
      </c>
      <c r="I11" s="47">
        <v>2</v>
      </c>
      <c r="J11" s="47">
        <v>2</v>
      </c>
      <c r="K11" s="831">
        <v>2</v>
      </c>
      <c r="L11" s="951" t="s">
        <v>409</v>
      </c>
      <c r="M11" s="48">
        <v>2</v>
      </c>
      <c r="N11" s="150"/>
      <c r="O11" s="126">
        <v>2</v>
      </c>
      <c r="P11" s="119"/>
      <c r="Q11" s="119"/>
      <c r="R11" s="119"/>
      <c r="S11" s="119">
        <v>2</v>
      </c>
      <c r="T11" s="119"/>
      <c r="U11" s="119">
        <v>2</v>
      </c>
      <c r="V11" s="120"/>
      <c r="W11" s="150"/>
      <c r="X11" s="92"/>
      <c r="Y11" s="93"/>
      <c r="Z11" s="93" t="s">
        <v>409</v>
      </c>
      <c r="AA11" s="93"/>
      <c r="AB11" s="93"/>
      <c r="AC11" s="93" t="s">
        <v>409</v>
      </c>
      <c r="AD11" s="872"/>
      <c r="AG11" s="337"/>
    </row>
    <row r="12" spans="2:33" ht="17" thickBot="1">
      <c r="B12" s="101"/>
      <c r="C12" s="146" t="s">
        <v>101</v>
      </c>
      <c r="D12" s="570" t="s">
        <v>84</v>
      </c>
      <c r="E12" s="571" t="s">
        <v>85</v>
      </c>
      <c r="F12" s="572">
        <v>3</v>
      </c>
      <c r="G12" s="837">
        <v>32</v>
      </c>
      <c r="H12" s="155"/>
      <c r="I12" s="156"/>
      <c r="J12" s="156"/>
      <c r="K12" s="159"/>
      <c r="L12" s="954"/>
      <c r="M12" s="164"/>
      <c r="N12" s="468"/>
      <c r="O12" s="844"/>
      <c r="P12" s="845"/>
      <c r="Q12" s="845"/>
      <c r="R12" s="845"/>
      <c r="S12" s="845"/>
      <c r="T12" s="845"/>
      <c r="U12" s="845"/>
      <c r="V12" s="846"/>
      <c r="W12" s="36"/>
      <c r="X12" s="169" t="s">
        <v>409</v>
      </c>
      <c r="Y12" s="668" t="s">
        <v>409</v>
      </c>
      <c r="Z12" s="668" t="s">
        <v>409</v>
      </c>
      <c r="AA12" s="634" t="s">
        <v>409</v>
      </c>
      <c r="AB12" s="634" t="s">
        <v>409</v>
      </c>
      <c r="AC12" s="634" t="s">
        <v>409</v>
      </c>
      <c r="AD12" s="710" t="s">
        <v>409</v>
      </c>
      <c r="AG12" s="337"/>
    </row>
    <row r="13" spans="2:33" ht="5" customHeight="1" thickBot="1">
      <c r="D13" s="574"/>
      <c r="E13" s="575"/>
      <c r="F13" s="576"/>
      <c r="G13" s="577"/>
      <c r="H13" s="43"/>
      <c r="I13" s="43"/>
      <c r="J13" s="43"/>
      <c r="K13" s="43"/>
      <c r="L13" s="43"/>
      <c r="M13" s="60"/>
      <c r="N13" s="36"/>
      <c r="O13" s="121"/>
      <c r="P13" s="121"/>
      <c r="Q13" s="121"/>
      <c r="R13" s="121"/>
      <c r="S13" s="121"/>
      <c r="T13" s="121"/>
      <c r="U13" s="121"/>
      <c r="V13" s="121"/>
      <c r="W13" s="36"/>
      <c r="X13" s="43"/>
      <c r="Y13" s="43"/>
      <c r="Z13" s="43"/>
      <c r="AA13" s="43"/>
      <c r="AB13" s="43"/>
      <c r="AC13" s="43"/>
      <c r="AG13" s="337"/>
    </row>
    <row r="14" spans="2:33" s="444" customFormat="1" ht="15" customHeight="1">
      <c r="B14" s="948" t="s">
        <v>105</v>
      </c>
      <c r="C14" s="989" t="s">
        <v>102</v>
      </c>
      <c r="D14" s="966" t="s">
        <v>12</v>
      </c>
      <c r="E14" s="967" t="s">
        <v>13</v>
      </c>
      <c r="F14" s="947">
        <v>5</v>
      </c>
      <c r="G14" s="585">
        <v>72</v>
      </c>
      <c r="H14" s="46">
        <v>1</v>
      </c>
      <c r="I14" s="61">
        <v>1</v>
      </c>
      <c r="J14" s="61">
        <v>1</v>
      </c>
      <c r="K14" s="822">
        <v>1</v>
      </c>
      <c r="L14" s="949">
        <v>1</v>
      </c>
      <c r="M14" s="45">
        <v>1</v>
      </c>
      <c r="N14" s="148"/>
      <c r="O14" s="843"/>
      <c r="P14" s="847"/>
      <c r="Q14" s="847"/>
      <c r="R14" s="122">
        <v>1</v>
      </c>
      <c r="S14" s="122">
        <v>2</v>
      </c>
      <c r="T14" s="122">
        <v>1</v>
      </c>
      <c r="U14" s="122"/>
      <c r="V14" s="123"/>
      <c r="W14" s="148"/>
      <c r="X14" s="46"/>
      <c r="Y14" s="61"/>
      <c r="Z14" s="61"/>
      <c r="AA14" s="61"/>
      <c r="AB14" s="61" t="s">
        <v>409</v>
      </c>
      <c r="AC14" s="61" t="s">
        <v>409</v>
      </c>
      <c r="AD14" s="140"/>
    </row>
    <row r="15" spans="2:33" ht="15" customHeight="1">
      <c r="B15" s="100" t="s">
        <v>59</v>
      </c>
      <c r="C15" s="990"/>
      <c r="D15" s="578" t="s">
        <v>18</v>
      </c>
      <c r="E15" s="565" t="s">
        <v>19</v>
      </c>
      <c r="F15" s="566">
        <v>2</v>
      </c>
      <c r="G15" s="836">
        <v>32</v>
      </c>
      <c r="H15" s="200">
        <v>1</v>
      </c>
      <c r="I15" s="201">
        <v>1</v>
      </c>
      <c r="J15" s="201">
        <v>1</v>
      </c>
      <c r="K15" s="821">
        <v>1</v>
      </c>
      <c r="L15" s="950">
        <v>1</v>
      </c>
      <c r="M15" s="203">
        <v>1</v>
      </c>
      <c r="N15" s="186"/>
      <c r="O15" s="835">
        <v>1</v>
      </c>
      <c r="P15" s="214">
        <v>2</v>
      </c>
      <c r="Q15" s="214">
        <v>1</v>
      </c>
      <c r="R15" s="214"/>
      <c r="S15" s="214">
        <v>1</v>
      </c>
      <c r="T15" s="214"/>
      <c r="U15" s="214"/>
      <c r="V15" s="215"/>
      <c r="W15" s="186"/>
      <c r="X15" s="200"/>
      <c r="Y15" s="201"/>
      <c r="Z15" s="201"/>
      <c r="AA15" s="201"/>
      <c r="AB15" s="201"/>
      <c r="AC15" s="201"/>
      <c r="AD15" s="213"/>
    </row>
    <row r="16" spans="2:33" ht="16" thickBot="1">
      <c r="B16" s="100"/>
      <c r="C16" s="991"/>
      <c r="D16" s="567" t="s">
        <v>22</v>
      </c>
      <c r="E16" s="568" t="s">
        <v>23</v>
      </c>
      <c r="F16" s="569">
        <v>4</v>
      </c>
      <c r="G16" s="586">
        <v>58</v>
      </c>
      <c r="H16" s="49"/>
      <c r="I16" s="47"/>
      <c r="J16" s="708"/>
      <c r="K16" s="831"/>
      <c r="L16" s="951"/>
      <c r="M16" s="48"/>
      <c r="N16" s="150"/>
      <c r="O16" s="126"/>
      <c r="P16" s="119"/>
      <c r="Q16" s="119"/>
      <c r="R16" s="119">
        <v>3</v>
      </c>
      <c r="S16" s="119"/>
      <c r="T16" s="119"/>
      <c r="U16" s="119">
        <v>1</v>
      </c>
      <c r="V16" s="120"/>
      <c r="W16" s="974"/>
      <c r="X16" s="126"/>
      <c r="Y16" s="119"/>
      <c r="Z16" s="119" t="s">
        <v>409</v>
      </c>
      <c r="AA16" s="119"/>
      <c r="AB16" s="119"/>
      <c r="AC16" s="47"/>
      <c r="AD16" s="72"/>
    </row>
    <row r="17" spans="2:30">
      <c r="B17" s="100"/>
      <c r="C17" s="989" t="s">
        <v>103</v>
      </c>
      <c r="D17" s="561" t="s">
        <v>14</v>
      </c>
      <c r="E17" s="562" t="s">
        <v>15</v>
      </c>
      <c r="F17" s="563">
        <v>4</v>
      </c>
      <c r="G17" s="585">
        <v>78</v>
      </c>
      <c r="H17" s="824"/>
      <c r="I17" s="825"/>
      <c r="J17" s="825"/>
      <c r="K17" s="826"/>
      <c r="L17" s="952"/>
      <c r="M17" s="827"/>
      <c r="N17" s="148"/>
      <c r="O17" s="842">
        <v>2</v>
      </c>
      <c r="P17" s="122">
        <v>2</v>
      </c>
      <c r="Q17" s="122">
        <v>2</v>
      </c>
      <c r="R17" s="122"/>
      <c r="S17" s="122"/>
      <c r="T17" s="122">
        <v>1</v>
      </c>
      <c r="U17" s="122"/>
      <c r="V17" s="123"/>
      <c r="W17" s="975"/>
      <c r="X17" s="842"/>
      <c r="Y17" s="122"/>
      <c r="Z17" s="122"/>
      <c r="AA17" s="122"/>
      <c r="AB17" s="122" t="s">
        <v>409</v>
      </c>
      <c r="AC17" s="61"/>
      <c r="AD17" s="69"/>
    </row>
    <row r="18" spans="2:30" ht="16">
      <c r="B18" s="100"/>
      <c r="C18" s="990"/>
      <c r="D18" s="578" t="s">
        <v>16</v>
      </c>
      <c r="E18" s="565" t="s">
        <v>17</v>
      </c>
      <c r="F18" s="566">
        <v>5</v>
      </c>
      <c r="G18" s="582">
        <v>88</v>
      </c>
      <c r="H18" s="37">
        <v>2</v>
      </c>
      <c r="I18" s="38">
        <v>2</v>
      </c>
      <c r="J18" s="38">
        <v>2</v>
      </c>
      <c r="K18" s="820">
        <v>1</v>
      </c>
      <c r="L18" s="953" t="s">
        <v>409</v>
      </c>
      <c r="M18" s="39">
        <v>1</v>
      </c>
      <c r="N18" s="36"/>
      <c r="O18" s="142">
        <v>2</v>
      </c>
      <c r="P18" s="124"/>
      <c r="Q18" s="124"/>
      <c r="R18" s="124"/>
      <c r="S18" s="124">
        <v>2</v>
      </c>
      <c r="T18" s="124">
        <v>1</v>
      </c>
      <c r="U18" s="124"/>
      <c r="V18" s="125"/>
      <c r="W18" s="976"/>
      <c r="X18" s="142"/>
      <c r="Y18" s="124"/>
      <c r="Z18" s="124" t="s">
        <v>409</v>
      </c>
      <c r="AA18" s="124"/>
      <c r="AB18" s="124" t="s">
        <v>409</v>
      </c>
      <c r="AC18" s="38" t="s">
        <v>409</v>
      </c>
      <c r="AD18" s="70"/>
    </row>
    <row r="19" spans="2:30" ht="16" thickBot="1">
      <c r="B19" s="100"/>
      <c r="C19" s="990"/>
      <c r="D19" s="567" t="s">
        <v>20</v>
      </c>
      <c r="E19" s="568" t="s">
        <v>21</v>
      </c>
      <c r="F19" s="569">
        <v>2</v>
      </c>
      <c r="G19" s="586">
        <v>31</v>
      </c>
      <c r="H19" s="49"/>
      <c r="I19" s="47"/>
      <c r="J19" s="47"/>
      <c r="K19" s="831"/>
      <c r="L19" s="951"/>
      <c r="M19" s="48"/>
      <c r="N19" s="150"/>
      <c r="O19" s="126"/>
      <c r="P19" s="119"/>
      <c r="Q19" s="119"/>
      <c r="R19" s="119">
        <v>2</v>
      </c>
      <c r="S19" s="119">
        <v>2</v>
      </c>
      <c r="T19" s="119"/>
      <c r="U19" s="119">
        <v>2</v>
      </c>
      <c r="V19" s="120">
        <v>1</v>
      </c>
      <c r="W19" s="974"/>
      <c r="X19" s="126"/>
      <c r="Y19" s="119"/>
      <c r="Z19" s="119" t="s">
        <v>409</v>
      </c>
      <c r="AA19" s="119"/>
      <c r="AB19" s="119" t="s">
        <v>409</v>
      </c>
      <c r="AC19" s="47" t="s">
        <v>409</v>
      </c>
      <c r="AD19" s="72"/>
    </row>
    <row r="20" spans="2:30" ht="16" thickBot="1">
      <c r="B20" s="101"/>
      <c r="C20" s="165" t="s">
        <v>104</v>
      </c>
      <c r="D20" s="579" t="s">
        <v>86</v>
      </c>
      <c r="E20" s="569" t="s">
        <v>87</v>
      </c>
      <c r="F20" s="580">
        <v>3</v>
      </c>
      <c r="G20" s="586">
        <v>35</v>
      </c>
      <c r="H20" s="155"/>
      <c r="I20" s="156"/>
      <c r="J20" s="156"/>
      <c r="K20" s="159"/>
      <c r="L20" s="954"/>
      <c r="M20" s="164"/>
      <c r="N20" s="468"/>
      <c r="O20" s="848"/>
      <c r="P20" s="849"/>
      <c r="Q20" s="849"/>
      <c r="R20" s="849"/>
      <c r="S20" s="849"/>
      <c r="T20" s="849"/>
      <c r="U20" s="849"/>
      <c r="V20" s="850"/>
      <c r="W20" s="976"/>
      <c r="X20" s="669"/>
      <c r="Y20" s="668">
        <v>2</v>
      </c>
      <c r="Z20" s="668">
        <v>2</v>
      </c>
      <c r="AA20" s="668"/>
      <c r="AB20" s="668">
        <v>1</v>
      </c>
      <c r="AC20" s="668">
        <v>2</v>
      </c>
      <c r="AD20" s="710">
        <v>1</v>
      </c>
    </row>
    <row r="21" spans="2:30" ht="10.5" customHeight="1" thickBot="1">
      <c r="D21" s="574"/>
      <c r="E21" s="575"/>
      <c r="F21" s="576"/>
      <c r="G21" s="577"/>
      <c r="H21" s="43"/>
      <c r="I21" s="43"/>
      <c r="J21" s="43"/>
      <c r="K21" s="60"/>
      <c r="L21" s="60"/>
      <c r="M21" s="43"/>
      <c r="N21" s="36"/>
      <c r="O21" s="121"/>
      <c r="P21" s="121"/>
      <c r="Q21" s="121"/>
      <c r="R21" s="121"/>
      <c r="S21" s="121"/>
      <c r="T21" s="121"/>
      <c r="U21" s="121"/>
      <c r="V21" s="121"/>
      <c r="W21" s="976"/>
      <c r="X21" s="121"/>
      <c r="Y21" s="121"/>
      <c r="Z21" s="121"/>
      <c r="AA21" s="121"/>
      <c r="AB21" s="121"/>
      <c r="AC21" s="43"/>
    </row>
    <row r="22" spans="2:30" ht="15" customHeight="1">
      <c r="B22" s="18" t="s">
        <v>106</v>
      </c>
      <c r="C22" s="989" t="s">
        <v>108</v>
      </c>
      <c r="D22" s="581" t="s">
        <v>149</v>
      </c>
      <c r="E22" s="562" t="s">
        <v>24</v>
      </c>
      <c r="F22" s="563">
        <v>3</v>
      </c>
      <c r="G22" s="585">
        <v>50</v>
      </c>
      <c r="H22" s="46">
        <v>2</v>
      </c>
      <c r="I22" s="61">
        <v>2</v>
      </c>
      <c r="J22" s="61">
        <v>2</v>
      </c>
      <c r="K22" s="822">
        <v>2</v>
      </c>
      <c r="L22" s="949" t="s">
        <v>409</v>
      </c>
      <c r="M22" s="45">
        <v>2</v>
      </c>
      <c r="N22" s="148"/>
      <c r="O22" s="843"/>
      <c r="P22" s="847"/>
      <c r="Q22" s="847"/>
      <c r="R22" s="847"/>
      <c r="S22" s="847"/>
      <c r="T22" s="122">
        <v>3</v>
      </c>
      <c r="U22" s="122">
        <v>2</v>
      </c>
      <c r="V22" s="123"/>
      <c r="W22" s="975"/>
      <c r="X22" s="842"/>
      <c r="Y22" s="122"/>
      <c r="Z22" s="122"/>
      <c r="AA22" s="122"/>
      <c r="AB22" s="122" t="s">
        <v>409</v>
      </c>
      <c r="AC22" s="61" t="s">
        <v>409</v>
      </c>
      <c r="AD22" s="69"/>
    </row>
    <row r="23" spans="2:30" ht="16">
      <c r="B23" s="19" t="s">
        <v>60</v>
      </c>
      <c r="C23" s="990"/>
      <c r="D23" s="564" t="s">
        <v>154</v>
      </c>
      <c r="E23" s="565" t="s">
        <v>27</v>
      </c>
      <c r="F23" s="566">
        <v>3</v>
      </c>
      <c r="G23" s="582">
        <v>49</v>
      </c>
      <c r="H23" s="37">
        <v>2</v>
      </c>
      <c r="I23" s="38">
        <v>2</v>
      </c>
      <c r="J23" s="38">
        <v>2</v>
      </c>
      <c r="K23" s="820">
        <v>2</v>
      </c>
      <c r="L23" s="953" t="s">
        <v>409</v>
      </c>
      <c r="M23" s="39">
        <v>2</v>
      </c>
      <c r="N23" s="36"/>
      <c r="O23" s="142"/>
      <c r="P23" s="124"/>
      <c r="Q23" s="851"/>
      <c r="R23" s="124">
        <v>3</v>
      </c>
      <c r="S23" s="124"/>
      <c r="T23" s="124">
        <v>3</v>
      </c>
      <c r="U23" s="124">
        <v>2</v>
      </c>
      <c r="V23" s="125">
        <v>2</v>
      </c>
      <c r="W23" s="976"/>
      <c r="X23" s="142"/>
      <c r="Y23" s="124"/>
      <c r="Z23" s="124"/>
      <c r="AA23" s="124"/>
      <c r="AB23" s="124" t="s">
        <v>409</v>
      </c>
      <c r="AC23" s="38" t="s">
        <v>409</v>
      </c>
      <c r="AD23" s="70"/>
    </row>
    <row r="24" spans="2:30">
      <c r="B24" s="19"/>
      <c r="C24" s="990"/>
      <c r="D24" s="578" t="s">
        <v>36</v>
      </c>
      <c r="E24" s="565" t="s">
        <v>37</v>
      </c>
      <c r="F24" s="566">
        <v>3</v>
      </c>
      <c r="G24" s="582">
        <v>40</v>
      </c>
      <c r="H24" s="37"/>
      <c r="I24" s="435"/>
      <c r="J24" s="435"/>
      <c r="K24" s="820"/>
      <c r="L24" s="953"/>
      <c r="M24" s="39"/>
      <c r="N24" s="36"/>
      <c r="O24" s="142"/>
      <c r="P24" s="124"/>
      <c r="Q24" s="124"/>
      <c r="R24" s="124">
        <v>2</v>
      </c>
      <c r="S24" s="124"/>
      <c r="T24" s="124"/>
      <c r="U24" s="124"/>
      <c r="V24" s="125"/>
      <c r="W24" s="976"/>
      <c r="X24" s="142" t="s">
        <v>409</v>
      </c>
      <c r="Y24" s="124"/>
      <c r="Z24" s="124" t="s">
        <v>409</v>
      </c>
      <c r="AA24" s="124" t="s">
        <v>409</v>
      </c>
      <c r="AB24" s="124"/>
      <c r="AC24" s="38"/>
      <c r="AD24" s="70"/>
    </row>
    <row r="25" spans="2:30" s="188" customFormat="1" ht="16" thickBot="1">
      <c r="B25" s="216"/>
      <c r="C25" s="991"/>
      <c r="D25" s="583" t="s">
        <v>30</v>
      </c>
      <c r="E25" s="568" t="s">
        <v>31</v>
      </c>
      <c r="F25" s="568">
        <v>3</v>
      </c>
      <c r="G25" s="584">
        <v>38</v>
      </c>
      <c r="H25" s="192">
        <v>2</v>
      </c>
      <c r="I25" s="193">
        <v>2</v>
      </c>
      <c r="J25" s="193" t="s">
        <v>409</v>
      </c>
      <c r="K25" s="823">
        <v>2</v>
      </c>
      <c r="L25" s="955"/>
      <c r="M25" s="196"/>
      <c r="N25" s="219"/>
      <c r="O25" s="852"/>
      <c r="P25" s="853"/>
      <c r="Q25" s="853"/>
      <c r="R25" s="853">
        <v>2</v>
      </c>
      <c r="S25" s="853">
        <v>2</v>
      </c>
      <c r="T25" s="853"/>
      <c r="U25" s="853"/>
      <c r="V25" s="854"/>
      <c r="W25" s="977"/>
      <c r="X25" s="852"/>
      <c r="Y25" s="853"/>
      <c r="Z25" s="853"/>
      <c r="AA25" s="853"/>
      <c r="AB25" s="853" t="s">
        <v>409</v>
      </c>
      <c r="AC25" s="193"/>
      <c r="AD25" s="199"/>
    </row>
    <row r="26" spans="2:30" ht="16">
      <c r="B26" s="19"/>
      <c r="C26" s="989" t="s">
        <v>109</v>
      </c>
      <c r="D26" s="561" t="s">
        <v>28</v>
      </c>
      <c r="E26" s="562" t="s">
        <v>29</v>
      </c>
      <c r="F26" s="563">
        <v>3</v>
      </c>
      <c r="G26" s="585">
        <v>50</v>
      </c>
      <c r="H26" s="824">
        <v>2</v>
      </c>
      <c r="I26" s="825">
        <v>2</v>
      </c>
      <c r="J26" s="825">
        <v>2</v>
      </c>
      <c r="K26" s="826">
        <v>2</v>
      </c>
      <c r="L26" s="952" t="s">
        <v>409</v>
      </c>
      <c r="M26" s="827">
        <v>1</v>
      </c>
      <c r="N26" s="148"/>
      <c r="O26" s="842">
        <v>3</v>
      </c>
      <c r="P26" s="122">
        <v>2</v>
      </c>
      <c r="Q26" s="122">
        <v>3</v>
      </c>
      <c r="R26" s="122"/>
      <c r="S26" s="122"/>
      <c r="T26" s="122">
        <v>1</v>
      </c>
      <c r="U26" s="122"/>
      <c r="V26" s="123"/>
      <c r="W26" s="975"/>
      <c r="X26" s="842"/>
      <c r="Y26" s="122"/>
      <c r="Z26" s="122"/>
      <c r="AA26" s="122"/>
      <c r="AB26" s="122" t="s">
        <v>409</v>
      </c>
      <c r="AC26" s="61"/>
      <c r="AD26" s="69"/>
    </row>
    <row r="27" spans="2:30">
      <c r="B27" s="19"/>
      <c r="C27" s="990"/>
      <c r="D27" s="564" t="s">
        <v>34</v>
      </c>
      <c r="E27" s="565" t="s">
        <v>35</v>
      </c>
      <c r="F27" s="566">
        <v>4</v>
      </c>
      <c r="G27" s="582">
        <v>74</v>
      </c>
      <c r="H27" s="835"/>
      <c r="I27" s="201"/>
      <c r="J27" s="201"/>
      <c r="K27" s="821"/>
      <c r="L27" s="950"/>
      <c r="M27" s="203"/>
      <c r="N27" s="186"/>
      <c r="O27" s="835">
        <v>3</v>
      </c>
      <c r="P27" s="214">
        <v>2</v>
      </c>
      <c r="Q27" s="214">
        <v>2</v>
      </c>
      <c r="R27" s="214"/>
      <c r="S27" s="214">
        <v>2</v>
      </c>
      <c r="T27" s="214"/>
      <c r="U27" s="214"/>
      <c r="V27" s="215">
        <v>2</v>
      </c>
      <c r="W27" s="978"/>
      <c r="X27" s="835"/>
      <c r="Y27" s="214" t="s">
        <v>409</v>
      </c>
      <c r="Z27" s="214" t="s">
        <v>409</v>
      </c>
      <c r="AA27" s="214"/>
      <c r="AB27" s="214"/>
      <c r="AC27" s="201"/>
      <c r="AD27" s="213"/>
    </row>
    <row r="28" spans="2:30">
      <c r="B28" s="19"/>
      <c r="C28" s="990"/>
      <c r="D28" s="578" t="s">
        <v>32</v>
      </c>
      <c r="E28" s="565" t="s">
        <v>33</v>
      </c>
      <c r="F28" s="566">
        <v>2</v>
      </c>
      <c r="G28" s="582">
        <v>34</v>
      </c>
      <c r="H28" s="37">
        <v>1</v>
      </c>
      <c r="I28" s="38">
        <v>2</v>
      </c>
      <c r="J28" s="38">
        <v>1</v>
      </c>
      <c r="K28" s="820">
        <v>2</v>
      </c>
      <c r="L28" s="953"/>
      <c r="M28" s="39"/>
      <c r="N28" s="36"/>
      <c r="O28" s="142"/>
      <c r="P28" s="124"/>
      <c r="Q28" s="124"/>
      <c r="R28" s="124">
        <v>3</v>
      </c>
      <c r="S28" s="124"/>
      <c r="T28" s="124"/>
      <c r="U28" s="124">
        <v>3</v>
      </c>
      <c r="V28" s="125">
        <v>2</v>
      </c>
      <c r="W28" s="976"/>
      <c r="X28" s="142"/>
      <c r="Y28" s="124"/>
      <c r="Z28" s="124"/>
      <c r="AA28" s="124"/>
      <c r="AB28" s="124" t="s">
        <v>409</v>
      </c>
      <c r="AC28" s="38" t="s">
        <v>409</v>
      </c>
      <c r="AD28" s="70"/>
    </row>
    <row r="29" spans="2:30" ht="16" thickBot="1">
      <c r="B29" s="19"/>
      <c r="C29" s="991"/>
      <c r="D29" s="567" t="s">
        <v>38</v>
      </c>
      <c r="E29" s="568" t="s">
        <v>39</v>
      </c>
      <c r="F29" s="569">
        <v>3</v>
      </c>
      <c r="G29" s="586">
        <v>7</v>
      </c>
      <c r="H29" s="775" t="s">
        <v>81</v>
      </c>
      <c r="I29" s="776" t="s">
        <v>81</v>
      </c>
      <c r="J29" s="776" t="s">
        <v>81</v>
      </c>
      <c r="K29" s="776" t="s">
        <v>81</v>
      </c>
      <c r="L29" s="937" t="s">
        <v>81</v>
      </c>
      <c r="M29" s="777" t="s">
        <v>81</v>
      </c>
      <c r="N29" s="150"/>
      <c r="O29" s="855" t="s">
        <v>81</v>
      </c>
      <c r="P29" s="856" t="s">
        <v>81</v>
      </c>
      <c r="Q29" s="856" t="s">
        <v>81</v>
      </c>
      <c r="R29" s="968" t="s">
        <v>81</v>
      </c>
      <c r="S29" s="968" t="s">
        <v>81</v>
      </c>
      <c r="T29" s="968" t="s">
        <v>81</v>
      </c>
      <c r="U29" s="968" t="s">
        <v>81</v>
      </c>
      <c r="V29" s="857" t="s">
        <v>81</v>
      </c>
      <c r="W29" s="974"/>
      <c r="X29" s="126"/>
      <c r="Y29" s="119"/>
      <c r="Z29" s="119"/>
      <c r="AA29" s="119"/>
      <c r="AB29" s="119"/>
      <c r="AC29" s="47"/>
      <c r="AD29" s="72"/>
    </row>
    <row r="30" spans="2:30" ht="16" thickBot="1">
      <c r="B30" s="20"/>
      <c r="C30" s="165" t="s">
        <v>110</v>
      </c>
      <c r="D30" s="587" t="s">
        <v>88</v>
      </c>
      <c r="E30" s="588" t="s">
        <v>89</v>
      </c>
      <c r="F30" s="589">
        <v>1</v>
      </c>
      <c r="G30" s="590">
        <v>16</v>
      </c>
      <c r="H30" s="160"/>
      <c r="I30" s="161"/>
      <c r="J30" s="161"/>
      <c r="K30" s="161"/>
      <c r="L30" s="162"/>
      <c r="M30" s="834"/>
      <c r="N30" s="172"/>
      <c r="O30" s="669"/>
      <c r="P30" s="668"/>
      <c r="Q30" s="668"/>
      <c r="R30" s="668"/>
      <c r="S30" s="668"/>
      <c r="T30" s="668"/>
      <c r="U30" s="668"/>
      <c r="V30" s="137"/>
      <c r="W30" s="979"/>
      <c r="X30" s="669"/>
      <c r="Y30" s="668"/>
      <c r="Z30" s="668"/>
      <c r="AA30" s="668" t="s">
        <v>409</v>
      </c>
      <c r="AB30" s="668"/>
      <c r="AC30" s="170" t="s">
        <v>409</v>
      </c>
      <c r="AD30" s="78"/>
    </row>
    <row r="31" spans="2:30" ht="5" customHeight="1" thickBot="1">
      <c r="D31" s="574"/>
      <c r="E31" s="575"/>
      <c r="F31" s="576"/>
      <c r="G31" s="577"/>
      <c r="H31" s="43"/>
      <c r="I31" s="43"/>
      <c r="J31" s="43"/>
      <c r="K31" s="43"/>
      <c r="L31" s="148"/>
      <c r="M31" s="60"/>
      <c r="N31" s="36"/>
      <c r="O31" s="121"/>
      <c r="P31" s="121"/>
      <c r="Q31" s="121"/>
      <c r="R31" s="121"/>
      <c r="S31" s="121"/>
      <c r="T31" s="121"/>
      <c r="U31" s="121"/>
      <c r="V31" s="969"/>
      <c r="W31" s="976"/>
      <c r="X31" s="121"/>
      <c r="Y31" s="121"/>
      <c r="Z31" s="121"/>
      <c r="AA31" s="121"/>
      <c r="AB31" s="121"/>
      <c r="AC31" s="43"/>
    </row>
    <row r="32" spans="2:30" ht="18" customHeight="1">
      <c r="B32" s="21" t="s">
        <v>106</v>
      </c>
      <c r="C32" s="989" t="s">
        <v>111</v>
      </c>
      <c r="D32" s="1001" t="s">
        <v>40</v>
      </c>
      <c r="E32" s="1031"/>
      <c r="F32" s="1015">
        <v>30</v>
      </c>
      <c r="G32" s="1025"/>
      <c r="H32" s="1027" t="s">
        <v>81</v>
      </c>
      <c r="I32" s="1023" t="s">
        <v>81</v>
      </c>
      <c r="J32" s="1023" t="s">
        <v>81</v>
      </c>
      <c r="K32" s="1029" t="s">
        <v>81</v>
      </c>
      <c r="L32" s="1029" t="s">
        <v>81</v>
      </c>
      <c r="M32" s="1005" t="s">
        <v>81</v>
      </c>
      <c r="N32" s="84"/>
      <c r="O32" s="1007" t="s">
        <v>81</v>
      </c>
      <c r="P32" s="1003" t="s">
        <v>81</v>
      </c>
      <c r="Q32" s="1009" t="s">
        <v>81</v>
      </c>
      <c r="R32" s="1009" t="s">
        <v>81</v>
      </c>
      <c r="S32" s="1009" t="s">
        <v>81</v>
      </c>
      <c r="T32" s="1009" t="s">
        <v>81</v>
      </c>
      <c r="U32" s="1009" t="s">
        <v>81</v>
      </c>
      <c r="V32" s="1011" t="s">
        <v>81</v>
      </c>
      <c r="W32" s="980"/>
      <c r="X32" s="1013"/>
      <c r="Y32" s="1003"/>
      <c r="Z32" s="1003"/>
      <c r="AA32" s="1003"/>
      <c r="AB32" s="1003"/>
      <c r="AC32" s="1023"/>
      <c r="AD32" s="1033"/>
    </row>
    <row r="33" spans="2:30" ht="18.75" customHeight="1" thickBot="1">
      <c r="B33" s="20" t="s">
        <v>60</v>
      </c>
      <c r="C33" s="991"/>
      <c r="D33" s="1002"/>
      <c r="E33" s="1032"/>
      <c r="F33" s="1016"/>
      <c r="G33" s="1026"/>
      <c r="H33" s="1028"/>
      <c r="I33" s="1024"/>
      <c r="J33" s="1024"/>
      <c r="K33" s="1030"/>
      <c r="L33" s="1030"/>
      <c r="M33" s="1006"/>
      <c r="N33" s="84"/>
      <c r="O33" s="1008"/>
      <c r="P33" s="1004"/>
      <c r="Q33" s="1010"/>
      <c r="R33" s="1010"/>
      <c r="S33" s="1010"/>
      <c r="T33" s="1010"/>
      <c r="U33" s="1010"/>
      <c r="V33" s="1012"/>
      <c r="W33" s="980"/>
      <c r="X33" s="1014"/>
      <c r="Y33" s="1004"/>
      <c r="Z33" s="1004"/>
      <c r="AA33" s="1004"/>
      <c r="AB33" s="1004"/>
      <c r="AC33" s="1024"/>
      <c r="AD33" s="1034"/>
    </row>
    <row r="34" spans="2:30" ht="11.25" customHeight="1" thickBot="1">
      <c r="C34" s="29"/>
      <c r="D34" s="574"/>
      <c r="E34" s="575"/>
      <c r="F34" s="576"/>
      <c r="G34" s="577"/>
      <c r="H34" s="43"/>
      <c r="I34" s="43"/>
      <c r="J34" s="43"/>
      <c r="K34" s="43"/>
      <c r="L34" s="43"/>
      <c r="M34" s="60"/>
      <c r="N34" s="36"/>
      <c r="O34" s="121"/>
      <c r="P34" s="121"/>
      <c r="Q34" s="121"/>
      <c r="R34" s="121"/>
      <c r="S34" s="121"/>
      <c r="T34" s="121"/>
      <c r="U34" s="121"/>
      <c r="V34" s="969"/>
      <c r="W34" s="976"/>
      <c r="X34" s="121"/>
      <c r="Y34" s="121"/>
      <c r="Z34" s="121"/>
      <c r="AA34" s="121"/>
      <c r="AB34" s="121"/>
      <c r="AC34" s="43"/>
    </row>
    <row r="35" spans="2:30" ht="15" customHeight="1">
      <c r="B35" s="21" t="s">
        <v>107</v>
      </c>
      <c r="C35" s="989" t="s">
        <v>112</v>
      </c>
      <c r="D35" s="561" t="s">
        <v>41</v>
      </c>
      <c r="E35" s="562" t="s">
        <v>42</v>
      </c>
      <c r="F35" s="563">
        <v>2</v>
      </c>
      <c r="G35" s="585">
        <v>46</v>
      </c>
      <c r="H35" s="46">
        <v>2</v>
      </c>
      <c r="I35" s="61">
        <v>2</v>
      </c>
      <c r="J35" s="61">
        <v>2</v>
      </c>
      <c r="K35" s="822"/>
      <c r="L35" s="949" t="s">
        <v>409</v>
      </c>
      <c r="M35" s="45">
        <v>2</v>
      </c>
      <c r="N35" s="148"/>
      <c r="O35" s="842"/>
      <c r="P35" s="122"/>
      <c r="Q35" s="122"/>
      <c r="R35" s="122"/>
      <c r="S35" s="122"/>
      <c r="T35" s="122"/>
      <c r="U35" s="122">
        <v>2</v>
      </c>
      <c r="V35" s="123">
        <v>3</v>
      </c>
      <c r="W35" s="975"/>
      <c r="X35" s="842"/>
      <c r="Y35" s="122"/>
      <c r="Z35" s="122"/>
      <c r="AA35" s="122"/>
      <c r="AB35" s="122"/>
      <c r="AC35" s="61" t="s">
        <v>409</v>
      </c>
      <c r="AD35" s="69"/>
    </row>
    <row r="36" spans="2:30" ht="16">
      <c r="B36" s="19" t="s">
        <v>61</v>
      </c>
      <c r="C36" s="990"/>
      <c r="D36" s="578" t="s">
        <v>43</v>
      </c>
      <c r="E36" s="565" t="s">
        <v>44</v>
      </c>
      <c r="F36" s="566">
        <v>3</v>
      </c>
      <c r="G36" s="582">
        <v>50</v>
      </c>
      <c r="H36" s="37">
        <v>2</v>
      </c>
      <c r="I36" s="38">
        <v>2</v>
      </c>
      <c r="J36" s="38">
        <v>2</v>
      </c>
      <c r="K36" s="820">
        <v>2</v>
      </c>
      <c r="L36" s="953" t="s">
        <v>409</v>
      </c>
      <c r="M36" s="39">
        <v>2</v>
      </c>
      <c r="N36" s="36"/>
      <c r="O36" s="858"/>
      <c r="P36" s="124"/>
      <c r="Q36" s="124">
        <v>2</v>
      </c>
      <c r="R36" s="124">
        <v>3</v>
      </c>
      <c r="S36" s="851"/>
      <c r="T36" s="124">
        <v>3</v>
      </c>
      <c r="U36" s="851"/>
      <c r="V36" s="125"/>
      <c r="W36" s="976"/>
      <c r="X36" s="142"/>
      <c r="Y36" s="124"/>
      <c r="Z36" s="124"/>
      <c r="AA36" s="124"/>
      <c r="AB36" s="124" t="s">
        <v>409</v>
      </c>
      <c r="AC36" s="38" t="s">
        <v>409</v>
      </c>
      <c r="AD36" s="70"/>
    </row>
    <row r="37" spans="2:30" ht="16" thickBot="1">
      <c r="B37" s="19"/>
      <c r="C37" s="991"/>
      <c r="D37" s="567" t="s">
        <v>47</v>
      </c>
      <c r="E37" s="568" t="s">
        <v>48</v>
      </c>
      <c r="F37" s="569">
        <v>3</v>
      </c>
      <c r="G37" s="586">
        <v>40</v>
      </c>
      <c r="H37" s="796"/>
      <c r="I37" s="47"/>
      <c r="J37" s="47"/>
      <c r="K37" s="831"/>
      <c r="L37" s="951"/>
      <c r="M37" s="884"/>
      <c r="N37" s="150"/>
      <c r="O37" s="126"/>
      <c r="P37" s="119"/>
      <c r="Q37" s="119"/>
      <c r="R37" s="119" t="s">
        <v>409</v>
      </c>
      <c r="S37" s="119"/>
      <c r="T37" s="119">
        <v>3</v>
      </c>
      <c r="U37" s="119"/>
      <c r="V37" s="120">
        <v>3</v>
      </c>
      <c r="W37" s="974"/>
      <c r="X37" s="126" t="s">
        <v>409</v>
      </c>
      <c r="Y37" s="119"/>
      <c r="Z37" s="119"/>
      <c r="AA37" s="119" t="s">
        <v>409</v>
      </c>
      <c r="AB37" s="119"/>
      <c r="AC37" s="47"/>
      <c r="AD37" s="72"/>
    </row>
    <row r="38" spans="2:30">
      <c r="B38" s="19"/>
      <c r="C38" s="989" t="s">
        <v>113</v>
      </c>
      <c r="D38" s="591" t="s">
        <v>45</v>
      </c>
      <c r="E38" s="592" t="s">
        <v>46</v>
      </c>
      <c r="F38" s="593">
        <v>2</v>
      </c>
      <c r="G38" s="828">
        <v>24</v>
      </c>
      <c r="H38" s="832"/>
      <c r="I38" s="184"/>
      <c r="J38" s="184"/>
      <c r="K38" s="833"/>
      <c r="L38" s="956"/>
      <c r="M38" s="187"/>
      <c r="N38" s="186"/>
      <c r="O38" s="859">
        <v>2</v>
      </c>
      <c r="P38" s="860"/>
      <c r="Q38" s="860"/>
      <c r="R38" s="860"/>
      <c r="S38" s="860">
        <v>2</v>
      </c>
      <c r="T38" s="860"/>
      <c r="U38" s="860"/>
      <c r="V38" s="861">
        <v>2</v>
      </c>
      <c r="W38" s="186"/>
      <c r="X38" s="363"/>
      <c r="Y38" s="364"/>
      <c r="Z38" s="364"/>
      <c r="AA38" s="364"/>
      <c r="AB38" s="364"/>
      <c r="AC38" s="364"/>
      <c r="AD38" s="365"/>
    </row>
    <row r="39" spans="2:30">
      <c r="B39" s="19"/>
      <c r="C39" s="990"/>
      <c r="D39" s="578" t="s">
        <v>49</v>
      </c>
      <c r="E39" s="565" t="s">
        <v>50</v>
      </c>
      <c r="F39" s="566">
        <v>2</v>
      </c>
      <c r="G39" s="582">
        <v>38</v>
      </c>
      <c r="H39" s="37">
        <v>3</v>
      </c>
      <c r="I39" s="38">
        <v>2</v>
      </c>
      <c r="J39" s="38"/>
      <c r="K39" s="820">
        <v>2</v>
      </c>
      <c r="L39" s="953"/>
      <c r="M39" s="39">
        <v>2</v>
      </c>
      <c r="N39" s="36"/>
      <c r="O39" s="858"/>
      <c r="P39" s="124">
        <v>2</v>
      </c>
      <c r="Q39" s="124"/>
      <c r="R39" s="124"/>
      <c r="S39" s="124">
        <v>2</v>
      </c>
      <c r="T39" s="124"/>
      <c r="U39" s="851"/>
      <c r="V39" s="862"/>
      <c r="W39" s="36"/>
      <c r="X39" s="37"/>
      <c r="Y39" s="124" t="s">
        <v>409</v>
      </c>
      <c r="Z39" s="124" t="s">
        <v>409</v>
      </c>
      <c r="AA39" s="38"/>
      <c r="AB39" s="38"/>
      <c r="AC39" s="38"/>
      <c r="AD39" s="70"/>
    </row>
    <row r="40" spans="2:30" ht="16" thickBot="1">
      <c r="B40" s="19"/>
      <c r="C40" s="991"/>
      <c r="D40" s="594" t="s">
        <v>51</v>
      </c>
      <c r="E40" s="595" t="s">
        <v>52</v>
      </c>
      <c r="F40" s="596">
        <v>3</v>
      </c>
      <c r="G40" s="829">
        <v>64</v>
      </c>
      <c r="H40" s="49"/>
      <c r="I40" s="47"/>
      <c r="J40" s="47"/>
      <c r="K40" s="831"/>
      <c r="L40" s="951"/>
      <c r="M40" s="48"/>
      <c r="N40" s="36"/>
      <c r="O40" s="863">
        <v>3</v>
      </c>
      <c r="P40" s="864">
        <v>2</v>
      </c>
      <c r="Q40" s="864">
        <v>3</v>
      </c>
      <c r="R40" s="864">
        <v>3</v>
      </c>
      <c r="S40" s="864">
        <v>3</v>
      </c>
      <c r="T40" s="864">
        <v>3</v>
      </c>
      <c r="U40" s="864">
        <v>3</v>
      </c>
      <c r="V40" s="865">
        <v>2</v>
      </c>
      <c r="W40" s="36"/>
      <c r="X40" s="49"/>
      <c r="Y40" s="47"/>
      <c r="Z40" s="47"/>
      <c r="AA40" s="47"/>
      <c r="AB40" s="47"/>
      <c r="AC40" s="47"/>
      <c r="AD40" s="72"/>
    </row>
    <row r="41" spans="2:30" ht="16" thickBot="1">
      <c r="B41" s="19"/>
      <c r="C41" s="165" t="s">
        <v>114</v>
      </c>
      <c r="D41" s="597" t="s">
        <v>96</v>
      </c>
      <c r="E41" s="588" t="s">
        <v>97</v>
      </c>
      <c r="F41" s="589">
        <v>2</v>
      </c>
      <c r="G41" s="590">
        <v>16</v>
      </c>
      <c r="H41" s="160"/>
      <c r="I41" s="161"/>
      <c r="J41" s="161"/>
      <c r="K41" s="830"/>
      <c r="L41" s="957"/>
      <c r="M41" s="163"/>
      <c r="N41" s="172"/>
      <c r="O41" s="669"/>
      <c r="P41" s="668"/>
      <c r="Q41" s="668"/>
      <c r="R41" s="668"/>
      <c r="S41" s="668"/>
      <c r="T41" s="668"/>
      <c r="U41" s="668"/>
      <c r="V41" s="137"/>
      <c r="W41" s="172"/>
      <c r="X41" s="81"/>
      <c r="Y41" s="170"/>
      <c r="Z41" s="170"/>
      <c r="AA41" s="170"/>
      <c r="AB41" s="82"/>
      <c r="AC41" s="82"/>
      <c r="AD41" s="78"/>
    </row>
    <row r="42" spans="2:30">
      <c r="B42" s="19"/>
      <c r="C42" s="989" t="s">
        <v>115</v>
      </c>
      <c r="D42" s="603" t="s">
        <v>1459</v>
      </c>
      <c r="E42" s="562" t="s">
        <v>116</v>
      </c>
      <c r="F42" s="563">
        <v>12</v>
      </c>
      <c r="G42" s="585">
        <v>180</v>
      </c>
      <c r="H42" s="824">
        <v>3</v>
      </c>
      <c r="I42" s="825">
        <v>3</v>
      </c>
      <c r="J42" s="825"/>
      <c r="K42" s="826">
        <v>3</v>
      </c>
      <c r="L42" s="952">
        <v>2</v>
      </c>
      <c r="M42" s="827">
        <v>3</v>
      </c>
      <c r="N42" s="36"/>
      <c r="O42" s="842">
        <v>2</v>
      </c>
      <c r="P42" s="122">
        <v>3</v>
      </c>
      <c r="Q42" s="122">
        <v>3</v>
      </c>
      <c r="R42" s="122"/>
      <c r="S42" s="122"/>
      <c r="T42" s="122">
        <v>2</v>
      </c>
      <c r="U42" s="122"/>
      <c r="V42" s="123"/>
      <c r="W42" s="36"/>
      <c r="X42" s="842"/>
      <c r="Y42" s="122" t="s">
        <v>409</v>
      </c>
      <c r="Z42" s="122" t="s">
        <v>409</v>
      </c>
      <c r="AA42" s="122" t="s">
        <v>409</v>
      </c>
      <c r="AB42" s="122"/>
      <c r="AC42" s="122" t="s">
        <v>409</v>
      </c>
      <c r="AD42" s="873"/>
    </row>
    <row r="43" spans="2:30">
      <c r="B43" s="19"/>
      <c r="C43" s="990"/>
      <c r="D43" s="578" t="s">
        <v>72</v>
      </c>
      <c r="E43" s="565" t="s">
        <v>116</v>
      </c>
      <c r="F43" s="566">
        <v>12</v>
      </c>
      <c r="G43" s="582">
        <v>180</v>
      </c>
      <c r="H43" s="37">
        <v>2</v>
      </c>
      <c r="I43" s="38">
        <v>2</v>
      </c>
      <c r="J43" s="38">
        <v>3</v>
      </c>
      <c r="K43" s="820">
        <v>3</v>
      </c>
      <c r="L43" s="953">
        <v>3</v>
      </c>
      <c r="M43" s="39">
        <v>3</v>
      </c>
      <c r="N43" s="36"/>
      <c r="O43" s="142"/>
      <c r="P43" s="124"/>
      <c r="Q43" s="124"/>
      <c r="R43" s="124">
        <v>3</v>
      </c>
      <c r="S43" s="124">
        <v>3</v>
      </c>
      <c r="T43" s="124"/>
      <c r="U43" s="124">
        <v>3</v>
      </c>
      <c r="V43" s="125"/>
      <c r="W43" s="36"/>
      <c r="X43" s="142" t="s">
        <v>409</v>
      </c>
      <c r="Y43" s="124"/>
      <c r="Z43" s="124" t="s">
        <v>409</v>
      </c>
      <c r="AA43" s="124"/>
      <c r="AB43" s="124"/>
      <c r="AC43" s="124"/>
      <c r="AD43" s="212" t="s">
        <v>409</v>
      </c>
    </row>
    <row r="44" spans="2:30">
      <c r="B44" s="19"/>
      <c r="C44" s="990"/>
      <c r="D44" s="578" t="s">
        <v>69</v>
      </c>
      <c r="E44" s="565" t="s">
        <v>116</v>
      </c>
      <c r="F44" s="566">
        <v>12</v>
      </c>
      <c r="G44" s="582">
        <v>180</v>
      </c>
      <c r="H44" s="200"/>
      <c r="I44" s="201"/>
      <c r="J44" s="201"/>
      <c r="K44" s="821"/>
      <c r="L44" s="950"/>
      <c r="M44" s="203"/>
      <c r="N44" s="186"/>
      <c r="O44" s="835">
        <v>3</v>
      </c>
      <c r="P44" s="214">
        <v>3</v>
      </c>
      <c r="Q44" s="214"/>
      <c r="R44" s="214"/>
      <c r="S44" s="214"/>
      <c r="T44" s="214"/>
      <c r="U44" s="214"/>
      <c r="V44" s="215"/>
      <c r="W44" s="186"/>
      <c r="X44" s="835"/>
      <c r="Y44" s="124" t="s">
        <v>409</v>
      </c>
      <c r="Z44" s="124" t="s">
        <v>409</v>
      </c>
      <c r="AA44" s="214"/>
      <c r="AB44" s="214"/>
      <c r="AC44" s="214"/>
      <c r="AD44" s="874"/>
    </row>
    <row r="45" spans="2:30" ht="16">
      <c r="B45" s="19"/>
      <c r="C45" s="990"/>
      <c r="D45" s="578" t="s">
        <v>73</v>
      </c>
      <c r="E45" s="565" t="s">
        <v>116</v>
      </c>
      <c r="F45" s="566">
        <v>12</v>
      </c>
      <c r="G45" s="582">
        <v>180</v>
      </c>
      <c r="H45" s="200">
        <v>3</v>
      </c>
      <c r="I45" s="201" t="s">
        <v>409</v>
      </c>
      <c r="J45" s="201">
        <v>3</v>
      </c>
      <c r="K45" s="821">
        <v>3</v>
      </c>
      <c r="L45" s="950">
        <v>2</v>
      </c>
      <c r="M45" s="203">
        <v>3</v>
      </c>
      <c r="N45" s="186"/>
      <c r="O45" s="835"/>
      <c r="P45" s="214"/>
      <c r="Q45" s="866"/>
      <c r="R45" s="866"/>
      <c r="S45" s="214"/>
      <c r="T45" s="214">
        <v>3</v>
      </c>
      <c r="U45" s="214">
        <v>3</v>
      </c>
      <c r="V45" s="215">
        <v>2</v>
      </c>
      <c r="W45" s="186"/>
      <c r="X45" s="835"/>
      <c r="Y45" s="214" t="s">
        <v>409</v>
      </c>
      <c r="Z45" s="214" t="s">
        <v>409</v>
      </c>
      <c r="AA45" s="214" t="s">
        <v>409</v>
      </c>
      <c r="AB45" s="877" t="s">
        <v>174</v>
      </c>
      <c r="AC45" s="214" t="s">
        <v>409</v>
      </c>
      <c r="AD45" s="874"/>
    </row>
    <row r="46" spans="2:30" ht="17" thickBot="1">
      <c r="B46" s="19"/>
      <c r="C46" s="990"/>
      <c r="D46" s="594" t="s">
        <v>1460</v>
      </c>
      <c r="E46" s="565" t="s">
        <v>116</v>
      </c>
      <c r="F46" s="566">
        <v>12</v>
      </c>
      <c r="G46" s="582">
        <v>180</v>
      </c>
      <c r="H46" s="200"/>
      <c r="I46" s="201"/>
      <c r="J46" s="201"/>
      <c r="K46" s="821"/>
      <c r="L46" s="950"/>
      <c r="M46" s="203"/>
      <c r="N46" s="186"/>
      <c r="O46" s="867"/>
      <c r="P46" s="868"/>
      <c r="Q46" s="981"/>
      <c r="R46" s="981"/>
      <c r="S46" s="868"/>
      <c r="T46" s="868"/>
      <c r="U46" s="868"/>
      <c r="V46" s="869"/>
      <c r="W46" s="186"/>
      <c r="X46" s="867"/>
      <c r="Y46" s="868"/>
      <c r="Z46" s="868"/>
      <c r="AA46" s="868"/>
      <c r="AB46" s="982"/>
      <c r="AC46" s="868"/>
      <c r="AD46" s="875"/>
    </row>
    <row r="47" spans="2:30" ht="16" thickBot="1">
      <c r="B47" s="19"/>
      <c r="C47" s="990"/>
      <c r="D47" s="594" t="s">
        <v>1014</v>
      </c>
      <c r="E47" s="565" t="s">
        <v>116</v>
      </c>
      <c r="F47" s="566">
        <v>12</v>
      </c>
      <c r="G47" s="582">
        <v>180</v>
      </c>
      <c r="H47" s="128">
        <v>3</v>
      </c>
      <c r="I47" s="127" t="s">
        <v>409</v>
      </c>
      <c r="J47" s="127">
        <v>3</v>
      </c>
      <c r="K47" s="127">
        <v>3</v>
      </c>
      <c r="L47" s="960">
        <v>2</v>
      </c>
      <c r="M47" s="961">
        <v>3</v>
      </c>
      <c r="N47" s="959"/>
      <c r="O47" s="867">
        <v>1</v>
      </c>
      <c r="P47" s="868"/>
      <c r="Q47" s="868">
        <v>3</v>
      </c>
      <c r="R47" s="868"/>
      <c r="S47" s="868">
        <v>3</v>
      </c>
      <c r="T47" s="868">
        <v>3</v>
      </c>
      <c r="U47" s="868"/>
      <c r="V47" s="869"/>
      <c r="W47" s="186"/>
      <c r="X47" s="867"/>
      <c r="Y47" s="868"/>
      <c r="Z47" s="868"/>
      <c r="AA47" s="868"/>
      <c r="AB47" s="868"/>
      <c r="AC47" s="868"/>
      <c r="AD47" s="875"/>
    </row>
    <row r="48" spans="2:30" ht="16" thickBot="1">
      <c r="B48" s="20"/>
      <c r="C48" s="991"/>
      <c r="D48" s="599" t="s">
        <v>451</v>
      </c>
      <c r="E48" s="568" t="s">
        <v>116</v>
      </c>
      <c r="F48" s="569">
        <v>12</v>
      </c>
      <c r="G48" s="586">
        <v>180</v>
      </c>
      <c r="H48" s="192"/>
      <c r="I48" s="193"/>
      <c r="J48" s="193"/>
      <c r="K48" s="823"/>
      <c r="L48" s="955"/>
      <c r="M48" s="196"/>
      <c r="N48" s="186"/>
      <c r="O48" s="852">
        <v>3</v>
      </c>
      <c r="P48" s="853"/>
      <c r="Q48" s="853">
        <v>2</v>
      </c>
      <c r="R48" s="853">
        <v>2</v>
      </c>
      <c r="S48" s="853">
        <v>3</v>
      </c>
      <c r="T48" s="853"/>
      <c r="U48" s="853"/>
      <c r="V48" s="854"/>
      <c r="W48" s="186"/>
      <c r="X48" s="852"/>
      <c r="Y48" s="853"/>
      <c r="Z48" s="853"/>
      <c r="AA48" s="853"/>
      <c r="AB48" s="853" t="s">
        <v>409</v>
      </c>
      <c r="AC48" s="853" t="s">
        <v>409</v>
      </c>
      <c r="AD48" s="876"/>
    </row>
    <row r="49" spans="1:30" ht="5" customHeight="1" thickBot="1">
      <c r="D49" s="574"/>
      <c r="E49" s="575"/>
      <c r="F49" s="576"/>
      <c r="G49" s="577"/>
      <c r="H49" s="43"/>
      <c r="I49" s="43"/>
      <c r="J49" s="43"/>
      <c r="K49" s="43"/>
      <c r="L49" s="43"/>
      <c r="M49" s="60"/>
      <c r="N49" s="36"/>
      <c r="O49" s="43"/>
      <c r="P49" s="43"/>
      <c r="Q49" s="43"/>
      <c r="R49" s="43"/>
      <c r="S49" s="43"/>
      <c r="T49" s="43"/>
      <c r="U49" s="43"/>
      <c r="V49" s="43"/>
      <c r="W49" s="36"/>
      <c r="X49" s="43"/>
      <c r="Y49" s="43"/>
      <c r="Z49" s="43"/>
      <c r="AA49" s="43"/>
      <c r="AB49" s="43"/>
      <c r="AC49" s="43"/>
    </row>
    <row r="50" spans="1:30" ht="16" thickBot="1">
      <c r="B50" s="21" t="s">
        <v>119</v>
      </c>
      <c r="C50" s="65" t="s">
        <v>120</v>
      </c>
      <c r="D50" s="600" t="s">
        <v>1458</v>
      </c>
      <c r="E50" s="588" t="s">
        <v>1457</v>
      </c>
      <c r="F50" s="589">
        <v>6</v>
      </c>
      <c r="G50" s="598">
        <v>96</v>
      </c>
      <c r="H50" s="81" t="s">
        <v>81</v>
      </c>
      <c r="I50" s="82" t="s">
        <v>81</v>
      </c>
      <c r="J50" s="82" t="s">
        <v>81</v>
      </c>
      <c r="K50" s="82" t="s">
        <v>81</v>
      </c>
      <c r="L50" s="82" t="s">
        <v>81</v>
      </c>
      <c r="M50" s="83" t="s">
        <v>81</v>
      </c>
      <c r="N50" s="84"/>
      <c r="O50" s="81" t="s">
        <v>81</v>
      </c>
      <c r="P50" s="82" t="s">
        <v>81</v>
      </c>
      <c r="Q50" s="82" t="s">
        <v>81</v>
      </c>
      <c r="R50" s="82" t="s">
        <v>81</v>
      </c>
      <c r="S50" s="82" t="s">
        <v>81</v>
      </c>
      <c r="T50" s="82" t="s">
        <v>81</v>
      </c>
      <c r="U50" s="82" t="s">
        <v>81</v>
      </c>
      <c r="V50" s="85" t="s">
        <v>81</v>
      </c>
      <c r="W50" s="84"/>
      <c r="X50" s="461"/>
      <c r="Y50" s="458"/>
      <c r="Z50" s="458"/>
      <c r="AA50" s="458"/>
      <c r="AB50" s="458"/>
      <c r="AC50" s="458"/>
      <c r="AD50" s="463"/>
    </row>
    <row r="51" spans="1:30" ht="16" thickBot="1">
      <c r="B51" s="178" t="s">
        <v>118</v>
      </c>
      <c r="C51" s="65" t="s">
        <v>117</v>
      </c>
      <c r="D51" s="601" t="s">
        <v>53</v>
      </c>
      <c r="E51" s="602" t="s">
        <v>54</v>
      </c>
      <c r="F51" s="571">
        <v>24</v>
      </c>
      <c r="G51" s="573">
        <v>15</v>
      </c>
      <c r="H51" s="81" t="s">
        <v>81</v>
      </c>
      <c r="I51" s="82" t="s">
        <v>81</v>
      </c>
      <c r="J51" s="82" t="s">
        <v>81</v>
      </c>
      <c r="K51" s="82" t="s">
        <v>81</v>
      </c>
      <c r="L51" s="82" t="s">
        <v>81</v>
      </c>
      <c r="M51" s="83" t="s">
        <v>81</v>
      </c>
      <c r="N51" s="84"/>
      <c r="O51" s="81" t="s">
        <v>81</v>
      </c>
      <c r="P51" s="82" t="s">
        <v>81</v>
      </c>
      <c r="Q51" s="82" t="s">
        <v>81</v>
      </c>
      <c r="R51" s="82" t="s">
        <v>81</v>
      </c>
      <c r="S51" s="82" t="s">
        <v>81</v>
      </c>
      <c r="T51" s="82" t="s">
        <v>81</v>
      </c>
      <c r="U51" s="82" t="s">
        <v>81</v>
      </c>
      <c r="V51" s="85" t="s">
        <v>81</v>
      </c>
      <c r="W51" s="84"/>
      <c r="X51" s="462"/>
      <c r="Y51" s="459"/>
      <c r="Z51" s="459"/>
      <c r="AA51" s="459"/>
      <c r="AB51" s="459"/>
      <c r="AC51" s="459"/>
      <c r="AD51" s="464"/>
    </row>
    <row r="52" spans="1:30" ht="5" customHeight="1">
      <c r="H52" s="43"/>
      <c r="I52" s="43"/>
      <c r="J52" s="43"/>
      <c r="K52" s="43"/>
      <c r="L52" s="43"/>
      <c r="M52" s="60"/>
      <c r="N52" s="36"/>
      <c r="O52" s="43"/>
      <c r="P52" s="43"/>
      <c r="Q52" s="43"/>
      <c r="R52" s="43"/>
      <c r="S52" s="43"/>
      <c r="T52" s="43"/>
      <c r="U52" s="43"/>
      <c r="V52" s="43"/>
      <c r="W52" s="36"/>
      <c r="X52" s="43"/>
      <c r="Y52" s="43"/>
      <c r="Z52" s="43"/>
      <c r="AA52" s="43"/>
      <c r="AB52" s="43"/>
      <c r="AC52" s="43"/>
    </row>
    <row r="53" spans="1:30" ht="6.75" customHeight="1" thickBot="1">
      <c r="A53" s="4"/>
      <c r="E53" s="468"/>
      <c r="F53" s="468"/>
      <c r="G53" s="468"/>
      <c r="M53" s="468"/>
      <c r="N53" s="468"/>
      <c r="V53" s="468"/>
      <c r="W53" s="468"/>
    </row>
    <row r="54" spans="1:30" ht="16" thickBot="1">
      <c r="A54" s="4"/>
      <c r="B54" s="1020" t="s">
        <v>98</v>
      </c>
      <c r="C54" s="1021"/>
      <c r="D54" s="1021"/>
      <c r="E54" s="1021"/>
      <c r="F54" s="1021"/>
      <c r="G54" s="1022"/>
      <c r="H54" s="73"/>
      <c r="I54" s="77"/>
      <c r="J54" s="77"/>
      <c r="K54" s="77"/>
      <c r="L54" s="958"/>
      <c r="M54" s="89"/>
      <c r="O54" s="73"/>
      <c r="P54" s="77"/>
      <c r="Q54" s="77"/>
      <c r="R54" s="77"/>
      <c r="S54" s="77"/>
      <c r="T54" s="77"/>
      <c r="U54" s="77"/>
      <c r="V54" s="78"/>
      <c r="X54" s="73"/>
      <c r="Y54" s="77"/>
      <c r="Z54" s="135"/>
      <c r="AA54" s="135"/>
      <c r="AB54" s="135"/>
      <c r="AC54" s="135"/>
      <c r="AD54" s="137"/>
    </row>
    <row r="55" spans="1:30" ht="7.5" customHeight="1">
      <c r="A55" s="4"/>
      <c r="E55" s="468"/>
      <c r="F55" s="468"/>
      <c r="G55" s="468"/>
      <c r="M55" s="468"/>
      <c r="N55" s="468"/>
      <c r="V55" s="468"/>
      <c r="W55" s="468"/>
    </row>
    <row r="56" spans="1:30">
      <c r="A56" s="4"/>
      <c r="B56" s="179" t="s">
        <v>82</v>
      </c>
      <c r="E56" s="468"/>
      <c r="F56" s="468"/>
      <c r="G56" s="468"/>
      <c r="M56" s="468"/>
      <c r="N56" s="468"/>
      <c r="V56" s="468"/>
      <c r="W56" s="468"/>
    </row>
    <row r="57" spans="1:30">
      <c r="A57" s="4"/>
      <c r="E57" s="468"/>
      <c r="F57" s="468"/>
      <c r="G57" s="468"/>
      <c r="M57" s="468"/>
      <c r="N57" s="468"/>
      <c r="V57" s="468"/>
      <c r="W57" s="468"/>
    </row>
    <row r="58" spans="1:30" ht="21">
      <c r="B58" s="334" t="s">
        <v>481</v>
      </c>
      <c r="V58" s="468"/>
    </row>
    <row r="59" spans="1:30" ht="15.75" customHeight="1">
      <c r="B59" s="333" t="s">
        <v>482</v>
      </c>
      <c r="C59" s="468"/>
      <c r="E59" s="468"/>
      <c r="F59" s="468"/>
      <c r="G59" s="468"/>
      <c r="M59" s="468"/>
      <c r="N59" s="468"/>
      <c r="V59" s="468"/>
      <c r="W59" s="468"/>
    </row>
    <row r="60" spans="1:30" ht="21">
      <c r="B60" s="333" t="s">
        <v>483</v>
      </c>
      <c r="V60" s="468"/>
    </row>
    <row r="61" spans="1:30" ht="21">
      <c r="B61" s="333" t="s">
        <v>484</v>
      </c>
      <c r="V61" s="468"/>
    </row>
    <row r="62" spans="1:30" ht="21">
      <c r="B62" s="333" t="s">
        <v>485</v>
      </c>
      <c r="C62" s="91"/>
    </row>
    <row r="63" spans="1:30" ht="21">
      <c r="B63" s="333" t="s">
        <v>486</v>
      </c>
    </row>
    <row r="64" spans="1:30" ht="21">
      <c r="B64" s="333" t="s">
        <v>819</v>
      </c>
    </row>
    <row r="65" spans="2:8" ht="21">
      <c r="B65" s="333" t="s">
        <v>820</v>
      </c>
      <c r="H65" s="79"/>
    </row>
    <row r="66" spans="2:8" ht="21">
      <c r="B66" s="333" t="s">
        <v>821</v>
      </c>
    </row>
  </sheetData>
  <mergeCells count="41">
    <mergeCell ref="D2:AD2"/>
    <mergeCell ref="D3:D4"/>
    <mergeCell ref="C42:C48"/>
    <mergeCell ref="B54:G54"/>
    <mergeCell ref="AA32:AA33"/>
    <mergeCell ref="AB32:AB33"/>
    <mergeCell ref="AC32:AC33"/>
    <mergeCell ref="G32:G33"/>
    <mergeCell ref="H32:H33"/>
    <mergeCell ref="I32:I33"/>
    <mergeCell ref="J32:J33"/>
    <mergeCell ref="K32:K33"/>
    <mergeCell ref="E32:E33"/>
    <mergeCell ref="L32:L33"/>
    <mergeCell ref="AD32:AD33"/>
    <mergeCell ref="C35:C37"/>
    <mergeCell ref="C38:C40"/>
    <mergeCell ref="T32:T33"/>
    <mergeCell ref="U32:U33"/>
    <mergeCell ref="V32:V33"/>
    <mergeCell ref="X32:X33"/>
    <mergeCell ref="F32:F33"/>
    <mergeCell ref="Y32:Y33"/>
    <mergeCell ref="Z32:Z33"/>
    <mergeCell ref="M32:M33"/>
    <mergeCell ref="O32:O33"/>
    <mergeCell ref="P32:P33"/>
    <mergeCell ref="Q32:Q33"/>
    <mergeCell ref="R32:R33"/>
    <mergeCell ref="S32:S33"/>
    <mergeCell ref="C17:C19"/>
    <mergeCell ref="C22:C25"/>
    <mergeCell ref="C26:C29"/>
    <mergeCell ref="C32:C33"/>
    <mergeCell ref="D32:D33"/>
    <mergeCell ref="C14:C16"/>
    <mergeCell ref="H3:M3"/>
    <mergeCell ref="O3:V3"/>
    <mergeCell ref="X3:AD3"/>
    <mergeCell ref="C6:C8"/>
    <mergeCell ref="C9:C11"/>
  </mergeCells>
  <pageMargins left="0.25" right="0.25" top="0.75" bottom="0.75" header="0.3" footer="0.3"/>
  <pageSetup paperSize="8" scale="61"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2:N40"/>
  <sheetViews>
    <sheetView topLeftCell="A7" workbookViewId="0">
      <selection activeCell="H14" sqref="H14"/>
    </sheetView>
  </sheetViews>
  <sheetFormatPr baseColWidth="10" defaultRowHeight="15"/>
  <cols>
    <col min="1" max="1" width="12.6640625" customWidth="1"/>
    <col min="18" max="18" width="6.5" customWidth="1"/>
    <col min="19" max="19" width="3.5" customWidth="1"/>
    <col min="20" max="21" width="3.33203125" customWidth="1"/>
    <col min="22" max="22" width="3" customWidth="1"/>
    <col min="24" max="27" width="3.6640625" customWidth="1"/>
  </cols>
  <sheetData>
    <row r="2" spans="1:6" ht="24">
      <c r="B2" s="222" t="s">
        <v>505</v>
      </c>
    </row>
    <row r="4" spans="1:6" ht="18" customHeight="1">
      <c r="A4" s="354">
        <v>1</v>
      </c>
      <c r="B4" s="338" t="s">
        <v>499</v>
      </c>
    </row>
    <row r="5" spans="1:6" ht="18" customHeight="1">
      <c r="A5" s="1035" t="s">
        <v>1448</v>
      </c>
      <c r="B5" s="336" t="s">
        <v>500</v>
      </c>
    </row>
    <row r="6" spans="1:6" ht="18" customHeight="1">
      <c r="A6" s="1035"/>
      <c r="B6" s="336" t="s">
        <v>501</v>
      </c>
    </row>
    <row r="7" spans="1:6" ht="18" customHeight="1">
      <c r="A7" s="354"/>
      <c r="B7" s="336" t="s">
        <v>502</v>
      </c>
    </row>
    <row r="8" spans="1:6" ht="18" customHeight="1">
      <c r="A8" s="354"/>
      <c r="B8" s="336" t="s">
        <v>503</v>
      </c>
    </row>
    <row r="9" spans="1:6" ht="18" customHeight="1">
      <c r="A9" s="354"/>
      <c r="B9" s="336" t="s">
        <v>504</v>
      </c>
    </row>
    <row r="10" spans="1:6" s="901" customFormat="1" ht="18" customHeight="1" thickBot="1">
      <c r="A10" s="354"/>
      <c r="B10" s="336"/>
    </row>
    <row r="11" spans="1:6" s="901" customFormat="1" ht="18" customHeight="1">
      <c r="A11" s="1036" t="s">
        <v>1449</v>
      </c>
      <c r="B11" s="938" t="s">
        <v>1450</v>
      </c>
      <c r="C11" s="524"/>
      <c r="D11" s="524"/>
      <c r="E11" s="524"/>
      <c r="F11" s="939"/>
    </row>
    <row r="12" spans="1:6" s="901" customFormat="1" ht="18" customHeight="1">
      <c r="A12" s="1037"/>
      <c r="B12" s="940" t="s">
        <v>1451</v>
      </c>
      <c r="C12" s="680"/>
      <c r="D12" s="680"/>
      <c r="E12" s="680"/>
      <c r="F12" s="941"/>
    </row>
    <row r="13" spans="1:6" s="901" customFormat="1" ht="18" customHeight="1">
      <c r="A13" s="942"/>
      <c r="B13" s="940" t="s">
        <v>1452</v>
      </c>
      <c r="C13" s="680"/>
      <c r="D13" s="680"/>
      <c r="E13" s="680"/>
      <c r="F13" s="941"/>
    </row>
    <row r="14" spans="1:6" s="901" customFormat="1" ht="18" customHeight="1">
      <c r="A14" s="942"/>
      <c r="B14" s="940" t="s">
        <v>1453</v>
      </c>
      <c r="C14" s="680"/>
      <c r="D14" s="680"/>
      <c r="E14" s="680"/>
      <c r="F14" s="941"/>
    </row>
    <row r="15" spans="1:6" s="901" customFormat="1" ht="18" customHeight="1">
      <c r="A15" s="942"/>
      <c r="B15" s="940" t="s">
        <v>1454</v>
      </c>
      <c r="C15" s="680"/>
      <c r="D15" s="680"/>
      <c r="E15" s="680"/>
      <c r="F15" s="941"/>
    </row>
    <row r="16" spans="1:6" s="901" customFormat="1" ht="18" customHeight="1" thickBot="1">
      <c r="A16" s="943"/>
      <c r="B16" s="944" t="s">
        <v>1455</v>
      </c>
      <c r="C16" s="945"/>
      <c r="D16" s="945"/>
      <c r="E16" s="945"/>
      <c r="F16" s="946"/>
    </row>
    <row r="17" spans="1:14" ht="18" customHeight="1">
      <c r="A17" s="354"/>
    </row>
    <row r="18" spans="1:14" ht="18" customHeight="1">
      <c r="A18" s="354">
        <v>2</v>
      </c>
      <c r="B18" s="338" t="s">
        <v>67</v>
      </c>
    </row>
    <row r="19" spans="1:14" ht="18" customHeight="1">
      <c r="A19" s="354"/>
      <c r="B19" s="337" t="s">
        <v>497</v>
      </c>
    </row>
    <row r="20" spans="1:14" ht="18" customHeight="1">
      <c r="A20" s="354"/>
      <c r="B20" s="337" t="s">
        <v>476</v>
      </c>
    </row>
    <row r="21" spans="1:14" ht="18" customHeight="1">
      <c r="A21" s="354"/>
      <c r="B21" s="337" t="s">
        <v>477</v>
      </c>
    </row>
    <row r="22" spans="1:14" ht="18" customHeight="1">
      <c r="A22" s="354"/>
      <c r="B22" s="337" t="s">
        <v>124</v>
      </c>
      <c r="D22" s="335"/>
    </row>
    <row r="23" spans="1:14" ht="18" customHeight="1">
      <c r="A23" s="354"/>
      <c r="B23" s="337" t="s">
        <v>64</v>
      </c>
      <c r="D23" s="335"/>
    </row>
    <row r="24" spans="1:14" ht="18" customHeight="1">
      <c r="A24" s="354"/>
      <c r="B24" s="337" t="s">
        <v>498</v>
      </c>
      <c r="D24" s="335"/>
    </row>
    <row r="25" spans="1:14" ht="18" customHeight="1">
      <c r="A25" s="354"/>
      <c r="B25" s="337" t="s">
        <v>71</v>
      </c>
      <c r="D25" s="335"/>
    </row>
    <row r="26" spans="1:14" ht="18" customHeight="1">
      <c r="A26" s="354"/>
      <c r="B26" s="337" t="s">
        <v>479</v>
      </c>
      <c r="D26" s="335"/>
    </row>
    <row r="27" spans="1:14" ht="18" customHeight="1">
      <c r="A27" s="354"/>
      <c r="D27" s="335"/>
    </row>
    <row r="28" spans="1:14" ht="18" customHeight="1">
      <c r="A28" s="354">
        <v>3</v>
      </c>
      <c r="B28" s="338" t="s">
        <v>489</v>
      </c>
      <c r="D28" s="335"/>
    </row>
    <row r="29" spans="1:14" ht="18" customHeight="1">
      <c r="B29" s="337" t="s">
        <v>490</v>
      </c>
      <c r="N29" s="816"/>
    </row>
    <row r="30" spans="1:14" ht="18" customHeight="1">
      <c r="B30" s="337" t="s">
        <v>491</v>
      </c>
      <c r="N30" s="816"/>
    </row>
    <row r="31" spans="1:14" ht="18" customHeight="1">
      <c r="B31" s="337" t="s">
        <v>492</v>
      </c>
      <c r="N31" s="816"/>
    </row>
    <row r="32" spans="1:14" ht="18" customHeight="1">
      <c r="B32" s="337" t="s">
        <v>493</v>
      </c>
      <c r="N32" s="816"/>
    </row>
    <row r="33" spans="2:14" ht="18" customHeight="1">
      <c r="B33" s="337" t="s">
        <v>494</v>
      </c>
      <c r="N33" s="816"/>
    </row>
    <row r="34" spans="2:14" ht="18" customHeight="1">
      <c r="B34" s="337" t="s">
        <v>495</v>
      </c>
      <c r="N34" s="816"/>
    </row>
    <row r="35" spans="2:14" ht="18" customHeight="1">
      <c r="B35" s="337" t="s">
        <v>496</v>
      </c>
    </row>
    <row r="36" spans="2:14">
      <c r="N36" s="817"/>
    </row>
    <row r="37" spans="2:14">
      <c r="N37" s="817"/>
    </row>
    <row r="38" spans="2:14">
      <c r="N38" s="817"/>
    </row>
    <row r="39" spans="2:14">
      <c r="N39" s="817"/>
    </row>
    <row r="40" spans="2:14">
      <c r="N40" s="817"/>
    </row>
  </sheetData>
  <mergeCells count="2">
    <mergeCell ref="A5:A6"/>
    <mergeCell ref="A11:A12"/>
  </mergeCells>
  <pageMargins left="0.25" right="0.25" top="0.75" bottom="0.75" header="0.3" footer="0.3"/>
  <pageSetup paperSize="9" scale="59"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4"/>
    <pageSetUpPr fitToPage="1"/>
  </sheetPr>
  <dimension ref="A3:Y43"/>
  <sheetViews>
    <sheetView topLeftCell="E20" zoomScale="80" zoomScaleNormal="80" workbookViewId="0">
      <selection activeCell="R4" sqref="R4:AB43"/>
    </sheetView>
  </sheetViews>
  <sheetFormatPr baseColWidth="10" defaultRowHeight="15"/>
  <cols>
    <col min="2" max="2" width="21.5" customWidth="1"/>
    <col min="3" max="3" width="17.5" customWidth="1"/>
    <col min="4" max="4" width="8.5" customWidth="1"/>
    <col min="11" max="11" width="11.33203125" customWidth="1"/>
    <col min="14" max="14" width="40.6640625" customWidth="1"/>
    <col min="15" max="15" width="13.5" customWidth="1"/>
    <col min="16" max="16" width="14.33203125" customWidth="1"/>
    <col min="18" max="19" width="15.6640625" customWidth="1"/>
  </cols>
  <sheetData>
    <row r="3" spans="1:25" ht="16" thickBot="1"/>
    <row r="4" spans="1:25" ht="19">
      <c r="B4" s="272" t="s">
        <v>99</v>
      </c>
      <c r="C4" s="228" t="s">
        <v>126</v>
      </c>
      <c r="D4" s="229" t="s">
        <v>3</v>
      </c>
      <c r="E4" s="227" t="s">
        <v>4</v>
      </c>
      <c r="R4" s="272" t="s">
        <v>99</v>
      </c>
      <c r="S4" s="228" t="s">
        <v>126</v>
      </c>
      <c r="T4" s="229" t="s">
        <v>3</v>
      </c>
      <c r="U4" s="671" t="s">
        <v>4</v>
      </c>
      <c r="V4" s="983"/>
      <c r="W4" s="983"/>
      <c r="X4" s="983"/>
      <c r="Y4" s="983"/>
    </row>
    <row r="5" spans="1:25">
      <c r="C5" s="230" t="s">
        <v>55</v>
      </c>
      <c r="D5" s="231">
        <v>4</v>
      </c>
      <c r="R5" s="983"/>
      <c r="S5" s="230" t="s">
        <v>55</v>
      </c>
      <c r="T5" s="231">
        <v>4</v>
      </c>
      <c r="U5" s="983"/>
      <c r="V5" s="983"/>
      <c r="W5" s="983"/>
      <c r="X5" s="983"/>
      <c r="Y5" s="983"/>
    </row>
    <row r="6" spans="1:25" ht="16" thickBot="1">
      <c r="C6" s="232" t="s">
        <v>62</v>
      </c>
      <c r="D6" s="305">
        <v>66</v>
      </c>
      <c r="R6" s="983"/>
      <c r="S6" s="232" t="s">
        <v>62</v>
      </c>
      <c r="T6" s="986">
        <v>66</v>
      </c>
      <c r="U6" s="983"/>
      <c r="V6" s="983"/>
      <c r="W6" s="983"/>
      <c r="X6" s="983"/>
      <c r="Y6" s="983"/>
    </row>
    <row r="7" spans="1:25" ht="49" thickBot="1">
      <c r="O7" s="320" t="s">
        <v>125</v>
      </c>
      <c r="P7" s="320" t="s">
        <v>408</v>
      </c>
    </row>
    <row r="8" spans="1:25" ht="17" thickBot="1">
      <c r="R8" s="1041" t="s">
        <v>567</v>
      </c>
      <c r="S8" s="1042"/>
      <c r="T8" s="1042"/>
      <c r="U8" s="1042"/>
      <c r="V8" s="1042"/>
      <c r="W8" s="1042"/>
      <c r="X8" s="1042"/>
      <c r="Y8" s="1042"/>
    </row>
    <row r="9" spans="1:25" ht="17" thickBot="1">
      <c r="A9" s="698" t="s">
        <v>127</v>
      </c>
      <c r="B9" s="672"/>
      <c r="C9" s="673" t="s">
        <v>124</v>
      </c>
      <c r="D9" s="674"/>
      <c r="E9" s="674"/>
      <c r="F9" s="674"/>
      <c r="G9" s="674"/>
      <c r="H9" s="674"/>
      <c r="I9" s="674"/>
      <c r="J9" s="674"/>
      <c r="K9" s="675"/>
      <c r="L9" s="676"/>
      <c r="M9" s="676"/>
      <c r="N9" s="677"/>
      <c r="O9" s="696">
        <v>2</v>
      </c>
      <c r="P9" s="697" t="s">
        <v>407</v>
      </c>
      <c r="Q9" s="690"/>
      <c r="R9" s="680"/>
    </row>
    <row r="10" spans="1:25" ht="16">
      <c r="A10" s="666"/>
      <c r="B10" s="679" t="s">
        <v>410</v>
      </c>
      <c r="C10" s="715" t="s">
        <v>1205</v>
      </c>
      <c r="D10" s="711"/>
      <c r="E10" s="711"/>
      <c r="F10" s="711"/>
      <c r="G10" s="711"/>
      <c r="H10" s="711"/>
      <c r="I10" s="711"/>
      <c r="J10" s="711"/>
      <c r="K10" s="666"/>
      <c r="L10" s="666"/>
      <c r="M10" s="666"/>
      <c r="N10" s="666"/>
      <c r="O10" s="670"/>
      <c r="P10" s="666"/>
      <c r="Q10" s="690"/>
      <c r="R10" s="449" t="s">
        <v>784</v>
      </c>
    </row>
    <row r="11" spans="1:25">
      <c r="A11" s="666"/>
      <c r="B11" s="679" t="s">
        <v>411</v>
      </c>
      <c r="C11" s="666" t="s">
        <v>179</v>
      </c>
      <c r="D11" s="666"/>
      <c r="E11" s="666"/>
      <c r="F11" s="666"/>
      <c r="G11" s="666"/>
      <c r="H11" s="666"/>
      <c r="I11" s="666"/>
      <c r="J11" s="666"/>
      <c r="K11" s="666"/>
      <c r="L11" s="666"/>
      <c r="M11" s="666"/>
      <c r="N11" s="666"/>
      <c r="O11" s="670"/>
      <c r="P11" s="666"/>
      <c r="Q11" s="690"/>
    </row>
    <row r="12" spans="1:25">
      <c r="A12" s="666"/>
      <c r="B12" s="679" t="s">
        <v>411</v>
      </c>
      <c r="C12" s="666" t="s">
        <v>177</v>
      </c>
      <c r="D12" s="666"/>
      <c r="E12" s="666"/>
      <c r="F12" s="666"/>
      <c r="G12" s="666"/>
      <c r="H12" s="666"/>
      <c r="I12" s="666"/>
      <c r="J12" s="666"/>
      <c r="K12" s="666"/>
      <c r="L12" s="666"/>
      <c r="M12" s="666"/>
      <c r="N12" s="666"/>
      <c r="O12" s="670"/>
      <c r="P12" s="666"/>
      <c r="Q12" s="690"/>
      <c r="R12" s="694" t="s">
        <v>124</v>
      </c>
    </row>
    <row r="13" spans="1:25">
      <c r="A13" s="666"/>
      <c r="B13" s="679" t="s">
        <v>411</v>
      </c>
      <c r="C13" s="666" t="s">
        <v>178</v>
      </c>
      <c r="D13" s="666"/>
      <c r="E13" s="666"/>
      <c r="F13" s="666"/>
      <c r="G13" s="666"/>
      <c r="H13" s="666"/>
      <c r="I13" s="666"/>
      <c r="J13" s="666"/>
      <c r="K13" s="666"/>
      <c r="L13" s="666"/>
      <c r="M13" s="666"/>
      <c r="N13" s="666"/>
      <c r="O13" s="670"/>
      <c r="P13" s="666"/>
      <c r="Q13" s="690"/>
      <c r="R13" s="505" t="s">
        <v>410</v>
      </c>
      <c r="S13" s="666" t="s">
        <v>1205</v>
      </c>
    </row>
    <row r="14" spans="1:25">
      <c r="A14" s="666"/>
      <c r="B14" s="679" t="s">
        <v>130</v>
      </c>
      <c r="C14" s="666" t="s">
        <v>1206</v>
      </c>
      <c r="D14" s="666"/>
      <c r="E14" s="666"/>
      <c r="F14" s="666"/>
      <c r="G14" s="666"/>
      <c r="H14" s="666"/>
      <c r="I14" s="666"/>
      <c r="J14" s="666"/>
      <c r="K14" s="666"/>
      <c r="L14" s="666"/>
      <c r="M14" s="666"/>
      <c r="N14" s="666"/>
      <c r="O14" s="670"/>
      <c r="P14" s="666"/>
      <c r="Q14" s="690"/>
      <c r="R14" s="505" t="s">
        <v>411</v>
      </c>
      <c r="S14" s="666" t="s">
        <v>179</v>
      </c>
    </row>
    <row r="15" spans="1:25" ht="16" thickBot="1">
      <c r="A15" s="666"/>
      <c r="B15" s="666"/>
      <c r="C15" s="666"/>
      <c r="D15" s="666"/>
      <c r="E15" s="666"/>
      <c r="F15" s="666"/>
      <c r="G15" s="666"/>
      <c r="H15" s="666"/>
      <c r="I15" s="666"/>
      <c r="J15" s="666"/>
      <c r="K15" s="666"/>
      <c r="L15" s="666"/>
      <c r="M15" s="666"/>
      <c r="N15" s="666"/>
      <c r="O15" s="670"/>
      <c r="P15" s="666"/>
      <c r="Q15" s="690"/>
      <c r="R15" s="505" t="s">
        <v>411</v>
      </c>
      <c r="S15" s="666" t="s">
        <v>177</v>
      </c>
    </row>
    <row r="16" spans="1:25" ht="17" thickBot="1">
      <c r="A16" s="698" t="s">
        <v>128</v>
      </c>
      <c r="B16" s="672"/>
      <c r="C16" s="1038" t="s">
        <v>478</v>
      </c>
      <c r="D16" s="1039"/>
      <c r="E16" s="1039"/>
      <c r="F16" s="1039"/>
      <c r="G16" s="1039"/>
      <c r="H16" s="1039"/>
      <c r="I16" s="1039"/>
      <c r="J16" s="1039"/>
      <c r="K16" s="1039"/>
      <c r="L16" s="1039"/>
      <c r="M16" s="1039"/>
      <c r="N16" s="1040"/>
      <c r="O16" s="678">
        <v>2</v>
      </c>
      <c r="P16" s="697" t="s">
        <v>407</v>
      </c>
      <c r="Q16" s="690"/>
      <c r="R16" s="505" t="s">
        <v>411</v>
      </c>
      <c r="S16" s="666" t="s">
        <v>178</v>
      </c>
    </row>
    <row r="17" spans="1:19">
      <c r="A17" s="666"/>
      <c r="B17" s="679" t="s">
        <v>410</v>
      </c>
      <c r="C17" s="715" t="s">
        <v>180</v>
      </c>
      <c r="D17" s="711"/>
      <c r="E17" s="711"/>
      <c r="F17" s="711"/>
      <c r="G17" s="711"/>
      <c r="H17" s="711"/>
      <c r="I17" s="711"/>
      <c r="J17" s="666"/>
      <c r="K17" s="666"/>
      <c r="L17" s="666"/>
      <c r="M17" s="666"/>
      <c r="N17" s="666"/>
      <c r="O17" s="670"/>
      <c r="P17" s="666"/>
      <c r="Q17" s="690"/>
      <c r="R17" s="505" t="s">
        <v>130</v>
      </c>
      <c r="S17" s="666" t="s">
        <v>1206</v>
      </c>
    </row>
    <row r="18" spans="1:19">
      <c r="A18" s="666"/>
      <c r="B18" s="679" t="s">
        <v>410</v>
      </c>
      <c r="C18" s="715" t="s">
        <v>185</v>
      </c>
      <c r="D18" s="711"/>
      <c r="E18" s="711"/>
      <c r="F18" s="711"/>
      <c r="G18" s="711"/>
      <c r="H18" s="711"/>
      <c r="I18" s="711"/>
      <c r="J18" s="666"/>
      <c r="K18" s="666"/>
      <c r="L18" s="666"/>
      <c r="M18" s="666"/>
      <c r="N18" s="666"/>
      <c r="O18" s="670"/>
      <c r="P18" s="666"/>
      <c r="Q18" s="690"/>
    </row>
    <row r="19" spans="1:19">
      <c r="A19" s="666"/>
      <c r="B19" s="679" t="s">
        <v>411</v>
      </c>
      <c r="C19" s="666" t="s">
        <v>184</v>
      </c>
      <c r="D19" s="666"/>
      <c r="E19" s="666"/>
      <c r="F19" s="666"/>
      <c r="G19" s="666"/>
      <c r="H19" s="666"/>
      <c r="I19" s="666"/>
      <c r="J19" s="666"/>
      <c r="K19" s="666"/>
      <c r="L19" s="666"/>
      <c r="M19" s="666"/>
      <c r="N19" s="666"/>
      <c r="O19" s="670"/>
      <c r="P19" s="666"/>
      <c r="Q19" s="690"/>
      <c r="R19" s="694" t="s">
        <v>478</v>
      </c>
    </row>
    <row r="20" spans="1:19">
      <c r="A20" s="666"/>
      <c r="B20" s="679" t="s">
        <v>411</v>
      </c>
      <c r="C20" s="666" t="s">
        <v>182</v>
      </c>
      <c r="D20" s="666"/>
      <c r="E20" s="666"/>
      <c r="F20" s="666"/>
      <c r="G20" s="666"/>
      <c r="H20" s="666"/>
      <c r="I20" s="666"/>
      <c r="J20" s="666"/>
      <c r="K20" s="666"/>
      <c r="L20" s="666"/>
      <c r="M20" s="666"/>
      <c r="N20" s="666"/>
      <c r="O20" s="666"/>
      <c r="P20" s="666"/>
      <c r="Q20" s="690"/>
      <c r="R20" s="505" t="s">
        <v>410</v>
      </c>
      <c r="S20" s="666" t="s">
        <v>180</v>
      </c>
    </row>
    <row r="21" spans="1:19">
      <c r="A21" s="666"/>
      <c r="B21" s="679" t="s">
        <v>411</v>
      </c>
      <c r="C21" s="666" t="s">
        <v>181</v>
      </c>
      <c r="D21" s="666"/>
      <c r="E21" s="666"/>
      <c r="F21" s="666"/>
      <c r="G21" s="666"/>
      <c r="H21" s="666"/>
      <c r="I21" s="666"/>
      <c r="J21" s="666"/>
      <c r="K21" s="666"/>
      <c r="L21" s="666"/>
      <c r="M21" s="666"/>
      <c r="N21" s="666"/>
      <c r="O21" s="666"/>
      <c r="P21" s="666"/>
      <c r="Q21" s="690"/>
      <c r="R21" s="505" t="s">
        <v>410</v>
      </c>
      <c r="S21" s="666" t="s">
        <v>185</v>
      </c>
    </row>
    <row r="22" spans="1:19">
      <c r="A22" s="666"/>
      <c r="B22" s="679" t="s">
        <v>411</v>
      </c>
      <c r="C22" s="666" t="s">
        <v>1207</v>
      </c>
      <c r="D22" s="666"/>
      <c r="E22" s="666"/>
      <c r="F22" s="666"/>
      <c r="G22" s="666"/>
      <c r="H22" s="666"/>
      <c r="I22" s="666"/>
      <c r="J22" s="666"/>
      <c r="K22" s="666"/>
      <c r="L22" s="666"/>
      <c r="M22" s="666"/>
      <c r="N22" s="666"/>
      <c r="O22" s="666"/>
      <c r="P22" s="666"/>
      <c r="Q22" s="690"/>
      <c r="R22" s="505" t="s">
        <v>411</v>
      </c>
      <c r="S22" s="666" t="s">
        <v>184</v>
      </c>
    </row>
    <row r="23" spans="1:19">
      <c r="A23" s="666"/>
      <c r="B23" s="679" t="s">
        <v>130</v>
      </c>
      <c r="C23" s="666" t="s">
        <v>1208</v>
      </c>
      <c r="D23" s="666"/>
      <c r="E23" s="666"/>
      <c r="F23" s="666"/>
      <c r="G23" s="666"/>
      <c r="H23" s="666"/>
      <c r="I23" s="666"/>
      <c r="J23" s="666"/>
      <c r="K23" s="666"/>
      <c r="L23" s="666"/>
      <c r="M23" s="666"/>
      <c r="N23" s="666"/>
      <c r="O23" s="666"/>
      <c r="P23" s="666"/>
      <c r="Q23" s="690"/>
      <c r="R23" s="505" t="s">
        <v>411</v>
      </c>
      <c r="S23" s="666" t="s">
        <v>182</v>
      </c>
    </row>
    <row r="24" spans="1:19">
      <c r="A24" s="322"/>
      <c r="Q24" s="690"/>
      <c r="R24" s="505" t="s">
        <v>411</v>
      </c>
      <c r="S24" s="666" t="s">
        <v>181</v>
      </c>
    </row>
    <row r="25" spans="1:19">
      <c r="A25" s="322"/>
      <c r="Q25" s="690"/>
      <c r="R25" s="505" t="s">
        <v>411</v>
      </c>
      <c r="S25" s="666" t="s">
        <v>1207</v>
      </c>
    </row>
    <row r="26" spans="1:19">
      <c r="Q26" s="690"/>
      <c r="R26" s="505" t="s">
        <v>130</v>
      </c>
      <c r="S26" s="666" t="s">
        <v>1208</v>
      </c>
    </row>
    <row r="27" spans="1:19">
      <c r="Q27" s="690"/>
    </row>
    <row r="28" spans="1:19">
      <c r="Q28" s="690"/>
    </row>
    <row r="29" spans="1:19">
      <c r="Q29" s="690"/>
      <c r="R29" s="413" t="s">
        <v>186</v>
      </c>
    </row>
    <row r="30" spans="1:19">
      <c r="Q30" s="690"/>
      <c r="R30" s="671" t="s">
        <v>187</v>
      </c>
    </row>
    <row r="31" spans="1:19">
      <c r="Q31" s="690"/>
      <c r="R31" s="686" t="s">
        <v>191</v>
      </c>
    </row>
    <row r="32" spans="1:19">
      <c r="Q32" s="690"/>
      <c r="R32" s="686" t="s">
        <v>190</v>
      </c>
    </row>
    <row r="33" spans="17:18">
      <c r="Q33" s="690"/>
      <c r="R33" s="686" t="s">
        <v>189</v>
      </c>
    </row>
    <row r="34" spans="17:18">
      <c r="Q34" s="690"/>
      <c r="R34" s="671" t="s">
        <v>192</v>
      </c>
    </row>
    <row r="35" spans="17:18">
      <c r="Q35" s="690"/>
      <c r="R35" s="686" t="s">
        <v>197</v>
      </c>
    </row>
    <row r="36" spans="17:18">
      <c r="Q36" s="690"/>
      <c r="R36" s="686" t="s">
        <v>198</v>
      </c>
    </row>
    <row r="37" spans="17:18">
      <c r="Q37" s="690"/>
      <c r="R37" s="686" t="s">
        <v>199</v>
      </c>
    </row>
    <row r="38" spans="17:18">
      <c r="Q38" s="690"/>
      <c r="R38" s="686" t="s">
        <v>200</v>
      </c>
    </row>
    <row r="39" spans="17:18">
      <c r="Q39" s="690"/>
      <c r="R39" s="671" t="s">
        <v>188</v>
      </c>
    </row>
    <row r="40" spans="17:18">
      <c r="Q40" s="690"/>
      <c r="R40" s="686" t="s">
        <v>193</v>
      </c>
    </row>
    <row r="41" spans="17:18">
      <c r="Q41" s="690"/>
      <c r="R41" s="686" t="s">
        <v>194</v>
      </c>
    </row>
    <row r="42" spans="17:18">
      <c r="Q42" s="690"/>
      <c r="R42" s="686" t="s">
        <v>195</v>
      </c>
    </row>
    <row r="43" spans="17:18">
      <c r="Q43" s="690"/>
      <c r="R43" s="686" t="s">
        <v>196</v>
      </c>
    </row>
  </sheetData>
  <mergeCells count="2">
    <mergeCell ref="C16:N16"/>
    <mergeCell ref="R8:Y8"/>
  </mergeCells>
  <dataValidations disablePrompts="1" count="2">
    <dataValidation type="list" allowBlank="1" showInputMessage="1" showErrorMessage="1" sqref="P9 P16" xr:uid="{00000000-0002-0000-0200-000000000000}">
      <formula1>choix</formula1>
    </dataValidation>
    <dataValidation type="list" allowBlank="1" showInputMessage="1" showErrorMessage="1" sqref="B10:B13 B17:B22 R13:R16 R20:R25" xr:uid="{00000000-0002-0000-0200-000001000000}">
      <formula1>Choix_capacité</formula1>
    </dataValidation>
  </dataValidations>
  <pageMargins left="0.7" right="0.7" top="0.75" bottom="0.75" header="0.3" footer="0.3"/>
  <pageSetup paperSize="9" scale="24"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theme="4"/>
    <pageSetUpPr fitToPage="1"/>
  </sheetPr>
  <dimension ref="A3:Z47"/>
  <sheetViews>
    <sheetView zoomScale="80" zoomScaleNormal="80" workbookViewId="0">
      <selection activeCell="Y47" sqref="P4:Y47"/>
    </sheetView>
  </sheetViews>
  <sheetFormatPr baseColWidth="10" defaultRowHeight="15"/>
  <cols>
    <col min="2" max="2" width="13.6640625" customWidth="1"/>
    <col min="3" max="3" width="17.6640625" customWidth="1"/>
    <col min="13" max="13" width="13.5" bestFit="1" customWidth="1"/>
    <col min="14" max="14" width="14.1640625" customWidth="1"/>
    <col min="16" max="16" width="17.5" customWidth="1"/>
    <col min="17" max="17" width="17.6640625" customWidth="1"/>
  </cols>
  <sheetData>
    <row r="3" spans="1:23" ht="16" thickBot="1"/>
    <row r="4" spans="1:23" ht="19">
      <c r="B4" s="272" t="s">
        <v>99</v>
      </c>
      <c r="C4" s="228" t="s">
        <v>126</v>
      </c>
      <c r="D4" s="229" t="s">
        <v>8</v>
      </c>
      <c r="E4" s="227" t="s">
        <v>7</v>
      </c>
      <c r="G4" s="291" t="s">
        <v>210</v>
      </c>
      <c r="P4" s="272" t="s">
        <v>99</v>
      </c>
      <c r="Q4" s="228" t="s">
        <v>126</v>
      </c>
      <c r="R4" s="229" t="s">
        <v>8</v>
      </c>
      <c r="S4" s="671" t="s">
        <v>7</v>
      </c>
      <c r="T4" s="983"/>
      <c r="U4" s="291" t="s">
        <v>210</v>
      </c>
      <c r="V4" s="983"/>
      <c r="W4" s="983"/>
    </row>
    <row r="5" spans="1:23">
      <c r="C5" s="230" t="s">
        <v>55</v>
      </c>
      <c r="D5" s="231">
        <v>2</v>
      </c>
      <c r="P5" s="983"/>
      <c r="Q5" s="230" t="s">
        <v>55</v>
      </c>
      <c r="R5" s="231">
        <v>2</v>
      </c>
      <c r="S5" s="983"/>
      <c r="T5" s="983"/>
      <c r="U5" s="983"/>
      <c r="V5" s="983"/>
      <c r="W5" s="983"/>
    </row>
    <row r="6" spans="1:23" ht="16" thickBot="1">
      <c r="C6" s="232" t="s">
        <v>62</v>
      </c>
      <c r="D6" s="224">
        <v>31</v>
      </c>
      <c r="P6" s="983"/>
      <c r="Q6" s="232" t="s">
        <v>62</v>
      </c>
      <c r="R6" s="986">
        <v>31</v>
      </c>
      <c r="S6" s="983"/>
      <c r="T6" s="983"/>
      <c r="U6" s="983"/>
      <c r="V6" s="983"/>
      <c r="W6" s="983"/>
    </row>
    <row r="7" spans="1:23" ht="49" thickBot="1">
      <c r="M7" s="320" t="s">
        <v>125</v>
      </c>
      <c r="N7" s="320" t="s">
        <v>408</v>
      </c>
    </row>
    <row r="8" spans="1:23" ht="17" thickBot="1">
      <c r="P8" s="1041" t="s">
        <v>567</v>
      </c>
      <c r="Q8" s="1042"/>
      <c r="R8" s="1042"/>
      <c r="S8" s="1042"/>
      <c r="T8" s="1042"/>
      <c r="U8" s="1042"/>
      <c r="V8" s="1042"/>
      <c r="W8" s="1042"/>
    </row>
    <row r="9" spans="1:23" ht="17" thickBot="1">
      <c r="A9" s="493" t="s">
        <v>127</v>
      </c>
      <c r="B9" s="472"/>
      <c r="C9" s="473" t="s">
        <v>480</v>
      </c>
      <c r="D9" s="474"/>
      <c r="E9" s="474"/>
      <c r="F9" s="474"/>
      <c r="G9" s="474"/>
      <c r="H9" s="474"/>
      <c r="I9" s="474"/>
      <c r="J9" s="474"/>
      <c r="K9" s="475"/>
      <c r="L9" s="239"/>
      <c r="M9" s="478">
        <v>2</v>
      </c>
      <c r="N9" s="492" t="s">
        <v>407</v>
      </c>
      <c r="O9" s="292"/>
      <c r="P9" s="481"/>
      <c r="Q9" s="469"/>
      <c r="R9" s="469"/>
      <c r="S9" s="467"/>
      <c r="T9" s="467"/>
      <c r="U9" s="467"/>
      <c r="V9" s="467"/>
      <c r="W9" s="467"/>
    </row>
    <row r="10" spans="1:23" ht="16">
      <c r="A10" s="467"/>
      <c r="B10" s="479" t="s">
        <v>410</v>
      </c>
      <c r="C10" s="715" t="s">
        <v>1100</v>
      </c>
      <c r="D10" s="467"/>
      <c r="E10" s="467"/>
      <c r="F10" s="467"/>
      <c r="G10" s="467"/>
      <c r="H10" s="467"/>
      <c r="I10" s="467"/>
      <c r="J10" s="467"/>
      <c r="K10" s="467"/>
      <c r="L10" s="467"/>
      <c r="M10" s="470"/>
      <c r="N10" s="467"/>
      <c r="O10" s="292"/>
      <c r="P10" s="449" t="s">
        <v>784</v>
      </c>
      <c r="Q10" s="469"/>
      <c r="R10" s="469"/>
      <c r="S10" s="467"/>
      <c r="T10" s="467"/>
      <c r="U10" s="467"/>
      <c r="V10" s="467"/>
      <c r="W10" s="467"/>
    </row>
    <row r="11" spans="1:23">
      <c r="A11" s="467"/>
      <c r="B11" s="479" t="s">
        <v>410</v>
      </c>
      <c r="C11" s="715" t="s">
        <v>201</v>
      </c>
      <c r="D11" s="467"/>
      <c r="E11" s="467"/>
      <c r="F11" s="467"/>
      <c r="G11" s="467"/>
      <c r="H11" s="467"/>
      <c r="I11" s="467"/>
      <c r="J11" s="467"/>
      <c r="K11" s="467"/>
      <c r="L11" s="467"/>
      <c r="M11" s="470"/>
      <c r="N11" s="467"/>
      <c r="O11" s="292"/>
      <c r="P11" s="421" t="s">
        <v>476</v>
      </c>
      <c r="Q11" s="469"/>
      <c r="R11" s="469"/>
      <c r="S11" s="467"/>
      <c r="T11" s="467"/>
      <c r="U11" s="467"/>
      <c r="V11" s="467"/>
      <c r="W11" s="467"/>
    </row>
    <row r="12" spans="1:23">
      <c r="A12" s="467"/>
      <c r="B12" s="479" t="s">
        <v>411</v>
      </c>
      <c r="C12" s="467" t="s">
        <v>1101</v>
      </c>
      <c r="D12" s="467"/>
      <c r="E12" s="467"/>
      <c r="F12" s="467"/>
      <c r="G12" s="467"/>
      <c r="H12" s="467"/>
      <c r="I12" s="467"/>
      <c r="J12" s="467"/>
      <c r="K12" s="467"/>
      <c r="L12" s="467"/>
      <c r="M12" s="470"/>
      <c r="N12" s="467"/>
      <c r="O12" s="292"/>
      <c r="P12" s="505" t="s">
        <v>410</v>
      </c>
      <c r="Q12" s="467" t="s">
        <v>1100</v>
      </c>
      <c r="R12" s="467"/>
      <c r="S12" s="467"/>
    </row>
    <row r="13" spans="1:23">
      <c r="A13" s="467"/>
      <c r="B13" s="479" t="s">
        <v>411</v>
      </c>
      <c r="C13" s="467" t="s">
        <v>1102</v>
      </c>
      <c r="D13" s="467"/>
      <c r="E13" s="467"/>
      <c r="F13" s="467"/>
      <c r="G13" s="467"/>
      <c r="H13" s="467"/>
      <c r="I13" s="467"/>
      <c r="J13" s="467"/>
      <c r="K13" s="467"/>
      <c r="L13" s="467"/>
      <c r="M13" s="470"/>
      <c r="N13" s="467"/>
      <c r="O13" s="292"/>
      <c r="P13" s="505" t="s">
        <v>410</v>
      </c>
      <c r="Q13" s="467" t="s">
        <v>201</v>
      </c>
      <c r="R13" s="467"/>
      <c r="S13" s="467"/>
    </row>
    <row r="14" spans="1:23">
      <c r="A14" s="467"/>
      <c r="B14" s="479" t="s">
        <v>411</v>
      </c>
      <c r="C14" s="467" t="s">
        <v>1103</v>
      </c>
      <c r="D14" s="467"/>
      <c r="E14" s="467"/>
      <c r="F14" s="467"/>
      <c r="G14" s="467"/>
      <c r="H14" s="467"/>
      <c r="I14" s="467"/>
      <c r="J14" s="467"/>
      <c r="K14" s="467"/>
      <c r="L14" s="467"/>
      <c r="M14" s="470"/>
      <c r="N14" s="467"/>
      <c r="O14" s="292"/>
      <c r="P14" s="505" t="s">
        <v>411</v>
      </c>
      <c r="Q14" s="467" t="s">
        <v>1101</v>
      </c>
      <c r="R14" s="467"/>
      <c r="S14" s="467"/>
    </row>
    <row r="15" spans="1:23">
      <c r="A15" s="467"/>
      <c r="B15" s="479" t="s">
        <v>411</v>
      </c>
      <c r="C15" s="467" t="s">
        <v>1104</v>
      </c>
      <c r="D15" s="467"/>
      <c r="E15" s="467"/>
      <c r="F15" s="467"/>
      <c r="G15" s="467"/>
      <c r="H15" s="467"/>
      <c r="I15" s="467"/>
      <c r="J15" s="467"/>
      <c r="K15" s="467"/>
      <c r="L15" s="467"/>
      <c r="M15" s="470"/>
      <c r="N15" s="467"/>
      <c r="O15" s="292"/>
      <c r="P15" s="505" t="s">
        <v>411</v>
      </c>
      <c r="Q15" s="467" t="s">
        <v>1102</v>
      </c>
      <c r="R15" s="467"/>
      <c r="S15" s="467"/>
    </row>
    <row r="16" spans="1:23">
      <c r="A16" s="467"/>
      <c r="B16" s="479" t="s">
        <v>130</v>
      </c>
      <c r="C16" s="467" t="s">
        <v>1105</v>
      </c>
      <c r="D16" s="467"/>
      <c r="E16" s="467"/>
      <c r="F16" s="467"/>
      <c r="G16" s="467"/>
      <c r="H16" s="467"/>
      <c r="I16" s="467"/>
      <c r="J16" s="467"/>
      <c r="K16" s="467"/>
      <c r="L16" s="467"/>
      <c r="M16" s="470"/>
      <c r="N16" s="467"/>
      <c r="O16" s="292"/>
      <c r="P16" s="505" t="s">
        <v>411</v>
      </c>
      <c r="Q16" s="467" t="s">
        <v>1103</v>
      </c>
      <c r="R16" s="467"/>
      <c r="S16" s="467"/>
    </row>
    <row r="17" spans="1:25" ht="16" thickBot="1">
      <c r="A17" s="467"/>
      <c r="B17" s="467"/>
      <c r="C17" s="467"/>
      <c r="D17" s="467"/>
      <c r="E17" s="467"/>
      <c r="F17" s="467"/>
      <c r="G17" s="467"/>
      <c r="H17" s="467"/>
      <c r="I17" s="467"/>
      <c r="J17" s="467"/>
      <c r="K17" s="467"/>
      <c r="L17" s="467"/>
      <c r="M17" s="470"/>
      <c r="N17" s="467"/>
      <c r="O17" s="292"/>
      <c r="P17" s="505" t="s">
        <v>411</v>
      </c>
      <c r="Q17" s="467" t="s">
        <v>1104</v>
      </c>
      <c r="R17" s="467"/>
      <c r="S17" s="467"/>
    </row>
    <row r="18" spans="1:25" ht="17" thickBot="1">
      <c r="A18" s="493" t="s">
        <v>128</v>
      </c>
      <c r="B18" s="472"/>
      <c r="C18" s="1038" t="s">
        <v>476</v>
      </c>
      <c r="D18" s="1039"/>
      <c r="E18" s="1039"/>
      <c r="F18" s="1039"/>
      <c r="G18" s="1039"/>
      <c r="H18" s="1039"/>
      <c r="I18" s="1039"/>
      <c r="J18" s="1039"/>
      <c r="K18" s="1039"/>
      <c r="L18" s="1039"/>
      <c r="M18" s="478">
        <v>2</v>
      </c>
      <c r="N18" s="492" t="s">
        <v>407</v>
      </c>
      <c r="O18" s="292"/>
      <c r="P18" s="505" t="s">
        <v>130</v>
      </c>
      <c r="Q18" s="467" t="s">
        <v>1105</v>
      </c>
      <c r="R18" s="467"/>
      <c r="S18" s="467"/>
    </row>
    <row r="19" spans="1:25">
      <c r="A19" s="467"/>
      <c r="B19" s="479" t="s">
        <v>410</v>
      </c>
      <c r="C19" s="715" t="s">
        <v>1106</v>
      </c>
      <c r="D19" s="467"/>
      <c r="E19" s="467"/>
      <c r="F19" s="467"/>
      <c r="G19" s="467"/>
      <c r="H19" s="467"/>
      <c r="I19" s="467"/>
      <c r="J19" s="467"/>
      <c r="K19" s="467"/>
      <c r="L19" s="467"/>
      <c r="M19" s="470"/>
      <c r="N19" s="467"/>
      <c r="O19" s="292"/>
    </row>
    <row r="20" spans="1:25">
      <c r="A20" s="467"/>
      <c r="B20" s="479" t="s">
        <v>411</v>
      </c>
      <c r="C20" s="467" t="s">
        <v>1101</v>
      </c>
      <c r="D20" s="467"/>
      <c r="E20" s="467"/>
      <c r="F20" s="467"/>
      <c r="G20" s="467"/>
      <c r="H20" s="467"/>
      <c r="I20" s="467"/>
      <c r="J20" s="467"/>
      <c r="K20" s="467"/>
      <c r="L20" s="467"/>
      <c r="M20" s="470"/>
      <c r="N20" s="467"/>
      <c r="O20" s="292"/>
      <c r="P20" s="421" t="s">
        <v>476</v>
      </c>
      <c r="Q20" s="421"/>
      <c r="R20" s="421"/>
      <c r="S20" s="421"/>
      <c r="T20" s="421"/>
      <c r="U20" s="421"/>
      <c r="V20" s="421"/>
      <c r="W20" s="421"/>
      <c r="X20" s="421"/>
      <c r="Y20" s="421"/>
    </row>
    <row r="21" spans="1:25">
      <c r="A21" s="467"/>
      <c r="B21" s="479" t="s">
        <v>411</v>
      </c>
      <c r="C21" s="467" t="s">
        <v>1107</v>
      </c>
      <c r="D21" s="467"/>
      <c r="E21" s="467"/>
      <c r="F21" s="467"/>
      <c r="G21" s="467"/>
      <c r="H21" s="467"/>
      <c r="I21" s="467"/>
      <c r="J21" s="467"/>
      <c r="K21" s="467"/>
      <c r="L21" s="467"/>
      <c r="M21" s="467"/>
      <c r="N21" s="467"/>
      <c r="O21" s="292"/>
      <c r="P21" s="505" t="s">
        <v>410</v>
      </c>
      <c r="Q21" s="467" t="s">
        <v>1106</v>
      </c>
    </row>
    <row r="22" spans="1:25">
      <c r="A22" s="467"/>
      <c r="B22" s="479" t="s">
        <v>411</v>
      </c>
      <c r="C22" s="467" t="s">
        <v>1108</v>
      </c>
      <c r="D22" s="467"/>
      <c r="E22" s="467"/>
      <c r="F22" s="467"/>
      <c r="G22" s="467"/>
      <c r="H22" s="467"/>
      <c r="I22" s="467"/>
      <c r="J22" s="467"/>
      <c r="K22" s="467"/>
      <c r="L22" s="467"/>
      <c r="M22" s="467"/>
      <c r="N22" s="467"/>
      <c r="O22" s="292"/>
      <c r="P22" s="505" t="s">
        <v>411</v>
      </c>
      <c r="Q22" s="467" t="s">
        <v>1101</v>
      </c>
    </row>
    <row r="23" spans="1:25">
      <c r="A23" s="467"/>
      <c r="B23" s="479" t="s">
        <v>130</v>
      </c>
      <c r="C23" s="467" t="s">
        <v>1109</v>
      </c>
      <c r="D23" s="467"/>
      <c r="E23" s="467"/>
      <c r="F23" s="467"/>
      <c r="G23" s="467"/>
      <c r="H23" s="467"/>
      <c r="I23" s="467"/>
      <c r="J23" s="467"/>
      <c r="K23" s="467"/>
      <c r="L23" s="467"/>
      <c r="M23" s="467"/>
      <c r="N23" s="467"/>
      <c r="O23" s="292"/>
      <c r="P23" s="505" t="s">
        <v>411</v>
      </c>
      <c r="Q23" s="467" t="s">
        <v>1107</v>
      </c>
    </row>
    <row r="24" spans="1:25" ht="16" thickBot="1">
      <c r="A24" s="467"/>
      <c r="B24" s="467"/>
      <c r="C24" s="467"/>
      <c r="D24" s="467"/>
      <c r="E24" s="467"/>
      <c r="F24" s="467"/>
      <c r="G24" s="467"/>
      <c r="H24" s="467"/>
      <c r="I24" s="467"/>
      <c r="J24" s="467"/>
      <c r="K24" s="467"/>
      <c r="L24" s="467"/>
      <c r="M24" s="467"/>
      <c r="N24" s="467"/>
      <c r="O24" s="292"/>
      <c r="P24" s="505" t="s">
        <v>411</v>
      </c>
      <c r="Q24" s="467" t="s">
        <v>1108</v>
      </c>
    </row>
    <row r="25" spans="1:25" ht="17" thickBot="1">
      <c r="A25" s="493" t="s">
        <v>129</v>
      </c>
      <c r="B25" s="472"/>
      <c r="C25" s="1038" t="s">
        <v>477</v>
      </c>
      <c r="D25" s="1039"/>
      <c r="E25" s="1039"/>
      <c r="F25" s="1039"/>
      <c r="G25" s="1039"/>
      <c r="H25" s="1039"/>
      <c r="I25" s="1039"/>
      <c r="J25" s="1039"/>
      <c r="K25" s="1039"/>
      <c r="L25" s="1039"/>
      <c r="M25" s="478">
        <v>1</v>
      </c>
      <c r="N25" s="492" t="s">
        <v>407</v>
      </c>
      <c r="O25" s="292"/>
      <c r="P25" s="505" t="s">
        <v>130</v>
      </c>
      <c r="Q25" s="467" t="s">
        <v>1109</v>
      </c>
    </row>
    <row r="26" spans="1:25">
      <c r="A26" s="467"/>
      <c r="B26" s="479" t="s">
        <v>410</v>
      </c>
      <c r="C26" s="715" t="s">
        <v>1110</v>
      </c>
      <c r="D26" s="467"/>
      <c r="E26" s="467"/>
      <c r="F26" s="467"/>
      <c r="G26" s="467"/>
      <c r="H26" s="467"/>
      <c r="I26" s="467"/>
      <c r="J26" s="467"/>
      <c r="K26" s="467"/>
      <c r="L26" s="467"/>
      <c r="M26" s="470"/>
      <c r="N26" s="467"/>
      <c r="O26" s="292"/>
      <c r="R26" s="243"/>
      <c r="S26" s="245"/>
    </row>
    <row r="27" spans="1:25">
      <c r="A27" s="467"/>
      <c r="B27" s="479" t="s">
        <v>411</v>
      </c>
      <c r="C27" s="467" t="s">
        <v>1111</v>
      </c>
      <c r="D27" s="467"/>
      <c r="E27" s="467"/>
      <c r="F27" s="467"/>
      <c r="G27" s="467"/>
      <c r="H27" s="467"/>
      <c r="I27" s="467"/>
      <c r="J27" s="467"/>
      <c r="K27" s="467"/>
      <c r="L27" s="467"/>
      <c r="M27" s="470"/>
      <c r="N27" s="467"/>
      <c r="O27" s="292"/>
      <c r="P27" s="421" t="s">
        <v>477</v>
      </c>
      <c r="Q27" s="421"/>
      <c r="R27" s="421"/>
      <c r="S27" s="421"/>
      <c r="T27" s="421"/>
      <c r="U27" s="421"/>
      <c r="V27" s="421"/>
      <c r="W27" s="421"/>
      <c r="X27" s="421"/>
      <c r="Y27" s="421"/>
    </row>
    <row r="28" spans="1:25">
      <c r="A28" s="467"/>
      <c r="B28" s="479" t="s">
        <v>130</v>
      </c>
      <c r="C28" s="467" t="s">
        <v>1112</v>
      </c>
      <c r="D28" s="467"/>
      <c r="E28" s="467"/>
      <c r="F28" s="467"/>
      <c r="G28" s="467"/>
      <c r="H28" s="467"/>
      <c r="I28" s="467"/>
      <c r="J28" s="467"/>
      <c r="K28" s="467"/>
      <c r="L28" s="467"/>
      <c r="M28" s="467"/>
      <c r="N28" s="467"/>
      <c r="O28" s="292"/>
      <c r="P28" s="505" t="s">
        <v>410</v>
      </c>
      <c r="Q28" s="467" t="s">
        <v>1110</v>
      </c>
      <c r="R28" s="250"/>
      <c r="S28" s="244"/>
    </row>
    <row r="29" spans="1:25" ht="16" thickBot="1">
      <c r="A29" s="467"/>
      <c r="B29" s="467"/>
      <c r="C29" s="467"/>
      <c r="D29" s="467"/>
      <c r="E29" s="467"/>
      <c r="F29" s="467"/>
      <c r="G29" s="467"/>
      <c r="H29" s="467"/>
      <c r="I29" s="467"/>
      <c r="J29" s="467"/>
      <c r="K29" s="467"/>
      <c r="L29" s="467"/>
      <c r="M29" s="467"/>
      <c r="N29" s="467"/>
      <c r="O29" s="292"/>
      <c r="P29" s="505" t="s">
        <v>411</v>
      </c>
      <c r="Q29" s="467" t="s">
        <v>1111</v>
      </c>
      <c r="R29" s="243"/>
      <c r="S29" s="249"/>
    </row>
    <row r="30" spans="1:25" ht="17" thickBot="1">
      <c r="A30" s="493" t="s">
        <v>140</v>
      </c>
      <c r="B30" s="472"/>
      <c r="C30" s="1038" t="s">
        <v>64</v>
      </c>
      <c r="D30" s="1039"/>
      <c r="E30" s="1039"/>
      <c r="F30" s="1039"/>
      <c r="G30" s="1039"/>
      <c r="H30" s="1039"/>
      <c r="I30" s="1039"/>
      <c r="J30" s="1039"/>
      <c r="K30" s="1039"/>
      <c r="L30" s="1039"/>
      <c r="M30" s="478">
        <v>2</v>
      </c>
      <c r="N30" s="492" t="s">
        <v>407</v>
      </c>
      <c r="O30" s="292"/>
      <c r="P30" s="505" t="s">
        <v>130</v>
      </c>
      <c r="Q30" s="467" t="s">
        <v>1112</v>
      </c>
      <c r="R30" s="243"/>
      <c r="S30" s="249"/>
    </row>
    <row r="31" spans="1:25">
      <c r="A31" s="467"/>
      <c r="B31" s="479" t="s">
        <v>410</v>
      </c>
      <c r="C31" s="715" t="s">
        <v>1113</v>
      </c>
      <c r="D31" s="467"/>
      <c r="E31" s="467"/>
      <c r="F31" s="467"/>
      <c r="G31" s="467"/>
      <c r="H31" s="467"/>
      <c r="I31" s="467"/>
      <c r="J31" s="467"/>
      <c r="K31" s="467"/>
      <c r="L31" s="467"/>
      <c r="M31" s="470"/>
      <c r="N31" s="467"/>
      <c r="O31" s="292"/>
      <c r="R31" s="243"/>
      <c r="S31" s="249"/>
    </row>
    <row r="32" spans="1:25">
      <c r="A32" s="467"/>
      <c r="B32" s="479" t="s">
        <v>410</v>
      </c>
      <c r="C32" s="715" t="s">
        <v>1114</v>
      </c>
      <c r="D32" s="467"/>
      <c r="E32" s="467"/>
      <c r="F32" s="467"/>
      <c r="G32" s="467"/>
      <c r="H32" s="467"/>
      <c r="I32" s="467"/>
      <c r="J32" s="467"/>
      <c r="K32" s="467"/>
      <c r="L32" s="467"/>
      <c r="M32" s="470"/>
      <c r="N32" s="467"/>
      <c r="O32" s="292"/>
      <c r="P32" s="421" t="s">
        <v>64</v>
      </c>
      <c r="Q32" s="421"/>
      <c r="R32" s="421"/>
      <c r="S32" s="421"/>
      <c r="T32" s="421"/>
      <c r="U32" s="421"/>
      <c r="V32" s="421"/>
      <c r="W32" s="421"/>
      <c r="X32" s="421"/>
      <c r="Y32" s="421"/>
    </row>
    <row r="33" spans="1:26">
      <c r="A33" s="467"/>
      <c r="B33" s="479" t="s">
        <v>411</v>
      </c>
      <c r="C33" s="467" t="s">
        <v>1115</v>
      </c>
      <c r="D33" s="467"/>
      <c r="E33" s="467"/>
      <c r="F33" s="467"/>
      <c r="G33" s="467"/>
      <c r="H33" s="467"/>
      <c r="I33" s="467"/>
      <c r="J33" s="467"/>
      <c r="K33" s="467"/>
      <c r="L33" s="467"/>
      <c r="M33" s="467"/>
      <c r="N33" s="467"/>
      <c r="O33" s="292"/>
      <c r="P33" s="505" t="s">
        <v>410</v>
      </c>
      <c r="Q33" s="467" t="s">
        <v>1113</v>
      </c>
      <c r="R33" s="467"/>
      <c r="S33" s="467"/>
      <c r="T33" s="467"/>
      <c r="U33" s="467"/>
      <c r="V33" s="467"/>
      <c r="W33" s="467"/>
      <c r="X33" s="467"/>
      <c r="Y33" s="467"/>
      <c r="Z33" s="467"/>
    </row>
    <row r="34" spans="1:26">
      <c r="A34" s="467"/>
      <c r="B34" s="479" t="s">
        <v>411</v>
      </c>
      <c r="C34" s="467" t="s">
        <v>1116</v>
      </c>
      <c r="D34" s="467"/>
      <c r="E34" s="467"/>
      <c r="F34" s="467"/>
      <c r="G34" s="467"/>
      <c r="H34" s="467"/>
      <c r="I34" s="467"/>
      <c r="J34" s="467"/>
      <c r="K34" s="467"/>
      <c r="L34" s="467"/>
      <c r="M34" s="467"/>
      <c r="N34" s="467"/>
      <c r="O34" s="292"/>
      <c r="P34" s="505" t="s">
        <v>410</v>
      </c>
      <c r="Q34" s="467" t="s">
        <v>1114</v>
      </c>
      <c r="R34" s="467"/>
      <c r="S34" s="467"/>
      <c r="T34" s="467"/>
      <c r="U34" s="467"/>
      <c r="V34" s="467"/>
      <c r="W34" s="467"/>
      <c r="X34" s="467"/>
      <c r="Y34" s="467"/>
      <c r="Z34" s="467"/>
    </row>
    <row r="35" spans="1:26">
      <c r="A35" s="467"/>
      <c r="B35" s="479" t="s">
        <v>411</v>
      </c>
      <c r="C35" s="467" t="s">
        <v>1101</v>
      </c>
      <c r="D35" s="467"/>
      <c r="E35" s="467"/>
      <c r="F35" s="467"/>
      <c r="G35" s="467"/>
      <c r="H35" s="467"/>
      <c r="I35" s="467"/>
      <c r="J35" s="467"/>
      <c r="K35" s="467"/>
      <c r="L35" s="467"/>
      <c r="M35" s="467"/>
      <c r="N35" s="467"/>
      <c r="O35" s="292"/>
      <c r="P35" s="505" t="s">
        <v>411</v>
      </c>
      <c r="Q35" s="467" t="s">
        <v>1115</v>
      </c>
      <c r="R35" s="467"/>
      <c r="S35" s="467"/>
      <c r="T35" s="467"/>
      <c r="U35" s="467"/>
      <c r="V35" s="467"/>
      <c r="W35" s="467"/>
      <c r="X35" s="467"/>
      <c r="Y35" s="467"/>
      <c r="Z35" s="467"/>
    </row>
    <row r="36" spans="1:26">
      <c r="A36" s="481"/>
      <c r="B36" s="479" t="s">
        <v>130</v>
      </c>
      <c r="C36" s="1043" t="s">
        <v>1105</v>
      </c>
      <c r="D36" s="1044"/>
      <c r="E36" s="1044"/>
      <c r="F36" s="1044"/>
      <c r="G36" s="1044"/>
      <c r="H36" s="1044"/>
      <c r="I36" s="1044"/>
      <c r="J36" s="1044"/>
      <c r="K36" s="1044"/>
      <c r="L36" s="1044"/>
      <c r="M36" s="486"/>
      <c r="N36" s="467"/>
      <c r="O36" s="292"/>
      <c r="P36" s="505" t="s">
        <v>411</v>
      </c>
      <c r="Q36" s="467" t="s">
        <v>1116</v>
      </c>
      <c r="R36" s="467"/>
      <c r="S36" s="467"/>
      <c r="T36" s="467"/>
      <c r="U36" s="467"/>
      <c r="V36" s="467"/>
      <c r="W36" s="467"/>
      <c r="X36" s="467"/>
      <c r="Y36" s="467"/>
      <c r="Z36" s="467"/>
    </row>
    <row r="37" spans="1:26">
      <c r="A37" s="244"/>
      <c r="B37" s="227"/>
      <c r="C37" s="244"/>
      <c r="D37" s="244"/>
      <c r="E37" s="244"/>
      <c r="F37" s="244"/>
      <c r="G37" s="244"/>
      <c r="H37" s="244"/>
      <c r="I37" s="244"/>
      <c r="J37" s="244"/>
      <c r="K37" s="244"/>
      <c r="L37" s="244"/>
      <c r="M37" s="256"/>
      <c r="O37" s="292"/>
      <c r="P37" s="505" t="s">
        <v>411</v>
      </c>
      <c r="Q37" s="467" t="s">
        <v>1101</v>
      </c>
      <c r="R37" s="467"/>
      <c r="S37" s="467"/>
      <c r="T37" s="467"/>
      <c r="U37" s="467"/>
      <c r="V37" s="467"/>
      <c r="W37" s="467"/>
      <c r="X37" s="467"/>
      <c r="Y37" s="467"/>
      <c r="Z37" s="467"/>
    </row>
    <row r="38" spans="1:26">
      <c r="A38" s="244"/>
      <c r="B38" s="227"/>
      <c r="C38" s="244"/>
      <c r="D38" s="244"/>
      <c r="E38" s="244"/>
      <c r="F38" s="244"/>
      <c r="G38" s="244"/>
      <c r="H38" s="244"/>
      <c r="I38" s="244"/>
      <c r="J38" s="244"/>
      <c r="K38" s="244"/>
      <c r="L38" s="244"/>
      <c r="M38" s="244"/>
      <c r="O38" s="292"/>
      <c r="P38" s="505" t="s">
        <v>130</v>
      </c>
      <c r="Q38" s="451" t="s">
        <v>1105</v>
      </c>
      <c r="R38" s="987"/>
      <c r="S38" s="987"/>
      <c r="T38" s="987"/>
      <c r="U38" s="987"/>
      <c r="V38" s="987"/>
      <c r="W38" s="987"/>
      <c r="X38" s="987"/>
      <c r="Y38" s="987"/>
      <c r="Z38" s="987"/>
    </row>
    <row r="39" spans="1:26">
      <c r="A39" s="244"/>
      <c r="B39" s="227"/>
      <c r="C39" s="244"/>
      <c r="D39" s="244"/>
      <c r="E39" s="244"/>
      <c r="F39" s="244"/>
      <c r="G39" s="244"/>
      <c r="H39" s="244"/>
      <c r="I39" s="244"/>
      <c r="J39" s="244"/>
      <c r="K39" s="244"/>
      <c r="L39" s="244"/>
      <c r="M39" s="244"/>
      <c r="O39" s="292"/>
    </row>
    <row r="40" spans="1:26">
      <c r="A40" s="244"/>
      <c r="B40" s="227"/>
      <c r="C40" s="244"/>
      <c r="D40" s="244"/>
      <c r="E40" s="244"/>
      <c r="F40" s="244"/>
      <c r="G40" s="244"/>
      <c r="J40" s="243"/>
      <c r="K40" s="247"/>
      <c r="O40" s="292"/>
    </row>
    <row r="41" spans="1:26">
      <c r="A41" s="244"/>
      <c r="B41" s="244"/>
      <c r="C41" s="244"/>
      <c r="D41" s="244"/>
      <c r="E41" s="244"/>
      <c r="F41" s="244"/>
      <c r="G41" s="244"/>
      <c r="J41" s="243"/>
      <c r="K41" s="245"/>
      <c r="O41" s="292"/>
      <c r="P41" s="413" t="s">
        <v>186</v>
      </c>
    </row>
    <row r="42" spans="1:26">
      <c r="A42" s="244"/>
      <c r="B42" s="244"/>
      <c r="C42" s="244"/>
      <c r="D42" s="244"/>
      <c r="E42" s="244"/>
      <c r="F42" s="244"/>
      <c r="G42" s="244"/>
      <c r="J42" s="244"/>
      <c r="K42" s="248"/>
      <c r="O42" s="292"/>
      <c r="P42" s="244" t="s">
        <v>203</v>
      </c>
    </row>
    <row r="43" spans="1:26">
      <c r="A43" s="244"/>
      <c r="B43" s="244"/>
      <c r="C43" s="244"/>
      <c r="D43" s="244"/>
      <c r="E43" s="244"/>
      <c r="F43" s="244"/>
      <c r="G43" s="244"/>
      <c r="J43" s="250"/>
      <c r="K43" s="244"/>
      <c r="O43" s="292"/>
      <c r="P43" s="244" t="s">
        <v>204</v>
      </c>
    </row>
    <row r="44" spans="1:26">
      <c r="A44" s="244"/>
      <c r="B44" s="244"/>
      <c r="C44" s="244"/>
      <c r="D44" s="244"/>
      <c r="E44" s="244"/>
      <c r="F44" s="244"/>
      <c r="G44" s="244"/>
      <c r="J44" s="243"/>
      <c r="K44" s="249"/>
      <c r="O44" s="292"/>
      <c r="P44" s="244" t="s">
        <v>205</v>
      </c>
    </row>
    <row r="45" spans="1:26">
      <c r="A45" s="244"/>
      <c r="B45" s="244"/>
      <c r="C45" s="244"/>
      <c r="D45" s="244"/>
      <c r="E45" s="257"/>
      <c r="F45" s="257"/>
      <c r="G45" s="257"/>
      <c r="J45" s="243"/>
      <c r="K45" s="245"/>
      <c r="O45" s="292"/>
      <c r="P45" s="244" t="s">
        <v>206</v>
      </c>
    </row>
    <row r="46" spans="1:26">
      <c r="A46" s="244"/>
      <c r="B46" s="244"/>
      <c r="C46" s="244"/>
      <c r="D46" s="244"/>
      <c r="E46" s="244"/>
      <c r="F46" s="244"/>
      <c r="G46" s="244"/>
      <c r="J46" s="243"/>
      <c r="K46" s="247"/>
      <c r="O46" s="292"/>
      <c r="P46" s="244" t="s">
        <v>207</v>
      </c>
    </row>
    <row r="47" spans="1:26">
      <c r="O47" s="292"/>
      <c r="P47" s="244" t="s">
        <v>208</v>
      </c>
    </row>
  </sheetData>
  <mergeCells count="5">
    <mergeCell ref="C36:L36"/>
    <mergeCell ref="P8:W8"/>
    <mergeCell ref="C18:L18"/>
    <mergeCell ref="C25:L25"/>
    <mergeCell ref="C30:L30"/>
  </mergeCells>
  <dataValidations count="2">
    <dataValidation type="list" allowBlank="1" showInputMessage="1" showErrorMessage="1" sqref="N9 N18 N25 N30" xr:uid="{00000000-0002-0000-0300-000000000000}">
      <formula1>choix</formula1>
    </dataValidation>
    <dataValidation type="list" allowBlank="1" showInputMessage="1" showErrorMessage="1" sqref="B10:B15 B19:B22 B26:B27 B31:B35 P12:P17 P21:P24 P28:P29 P33:P37" xr:uid="{00000000-0002-0000-0300-000001000000}">
      <formula1>Choix_capacité</formula1>
    </dataValidation>
  </dataValidations>
  <pageMargins left="0.7" right="0.7" top="0.75" bottom="0.75" header="0.3" footer="0.3"/>
  <pageSetup paperSize="9" scale="2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theme="4"/>
  </sheetPr>
  <dimension ref="A3:U57"/>
  <sheetViews>
    <sheetView zoomScale="80" zoomScaleNormal="80" workbookViewId="0">
      <selection activeCell="C41" sqref="C41"/>
    </sheetView>
  </sheetViews>
  <sheetFormatPr baseColWidth="10" defaultRowHeight="15"/>
  <cols>
    <col min="2" max="2" width="13.6640625" customWidth="1"/>
    <col min="3" max="3" width="17.6640625" customWidth="1"/>
    <col min="14" max="14" width="10.5" customWidth="1"/>
    <col min="15" max="16" width="13.5" bestFit="1" customWidth="1"/>
  </cols>
  <sheetData>
    <row r="3" spans="1:21" ht="16" thickBot="1"/>
    <row r="4" spans="1:21" ht="19">
      <c r="B4" s="272" t="s">
        <v>99</v>
      </c>
      <c r="C4" s="228" t="s">
        <v>126</v>
      </c>
      <c r="D4" s="229" t="s">
        <v>11</v>
      </c>
      <c r="E4" s="227" t="s">
        <v>143</v>
      </c>
      <c r="G4" s="242"/>
    </row>
    <row r="5" spans="1:21">
      <c r="C5" s="230" t="s">
        <v>55</v>
      </c>
      <c r="D5" s="231">
        <v>4</v>
      </c>
    </row>
    <row r="6" spans="1:21" ht="16" thickBot="1">
      <c r="C6" s="232" t="s">
        <v>62</v>
      </c>
      <c r="D6" s="224">
        <v>58</v>
      </c>
    </row>
    <row r="7" spans="1:21" ht="16" thickBot="1">
      <c r="T7" s="242"/>
    </row>
    <row r="8" spans="1:21" ht="49" thickBot="1">
      <c r="O8" s="320" t="s">
        <v>125</v>
      </c>
      <c r="P8" s="320" t="s">
        <v>408</v>
      </c>
    </row>
    <row r="9" spans="1:21">
      <c r="Q9" s="287"/>
      <c r="R9" s="293" t="s">
        <v>183</v>
      </c>
      <c r="S9" s="294"/>
      <c r="T9" s="250"/>
      <c r="U9" s="244"/>
    </row>
    <row r="10" spans="1:21">
      <c r="A10" s="371" t="s">
        <v>1136</v>
      </c>
      <c r="B10" s="882"/>
      <c r="C10" s="881"/>
      <c r="D10" s="881"/>
      <c r="E10" s="881"/>
      <c r="F10" s="881"/>
      <c r="G10" s="881"/>
      <c r="H10" s="881"/>
      <c r="I10" s="881"/>
      <c r="J10" s="881"/>
      <c r="K10" s="881"/>
      <c r="L10" s="881"/>
      <c r="M10" s="881"/>
      <c r="N10" s="881"/>
      <c r="O10" s="881"/>
      <c r="P10" s="616"/>
      <c r="Q10" s="287"/>
      <c r="R10" s="244"/>
      <c r="U10" s="245"/>
    </row>
    <row r="11" spans="1:21" ht="16" thickBot="1">
      <c r="A11" s="881"/>
      <c r="B11" s="881"/>
      <c r="C11" s="881"/>
      <c r="D11" s="881"/>
      <c r="E11" s="881"/>
      <c r="F11" s="881"/>
      <c r="G11" s="881"/>
      <c r="H11" s="881"/>
      <c r="I11" s="881"/>
      <c r="J11" s="881"/>
      <c r="K11" s="881"/>
      <c r="L11" s="881"/>
      <c r="M11" s="881"/>
      <c r="N11" s="881"/>
      <c r="O11" s="881"/>
      <c r="P11" s="616"/>
      <c r="Q11" s="287"/>
      <c r="R11" s="227" t="s">
        <v>176</v>
      </c>
      <c r="U11" s="245"/>
    </row>
    <row r="12" spans="1:21" ht="17" thickBot="1">
      <c r="A12" s="698" t="s">
        <v>127</v>
      </c>
      <c r="B12" s="672"/>
      <c r="C12" s="1038" t="s">
        <v>500</v>
      </c>
      <c r="D12" s="1039"/>
      <c r="E12" s="1039"/>
      <c r="F12" s="1039"/>
      <c r="G12" s="1039"/>
      <c r="H12" s="1039"/>
      <c r="I12" s="1039"/>
      <c r="J12" s="1039"/>
      <c r="K12" s="1039"/>
      <c r="L12" s="1039"/>
      <c r="M12" s="1039"/>
      <c r="N12" s="1040"/>
      <c r="O12" s="678">
        <v>2</v>
      </c>
      <c r="P12" s="453" t="s">
        <v>407</v>
      </c>
      <c r="Q12" s="287"/>
      <c r="R12" s="285" t="s">
        <v>202</v>
      </c>
    </row>
    <row r="13" spans="1:21">
      <c r="A13" s="881"/>
      <c r="B13" s="882" t="s">
        <v>410</v>
      </c>
      <c r="C13" s="715"/>
      <c r="D13" s="881"/>
      <c r="E13" s="881"/>
      <c r="F13" s="881"/>
      <c r="G13" s="881"/>
      <c r="H13" s="881"/>
      <c r="I13" s="881"/>
      <c r="J13" s="881"/>
      <c r="K13" s="881"/>
      <c r="L13" s="881"/>
      <c r="M13" s="881"/>
      <c r="N13" s="881"/>
      <c r="O13" s="670"/>
      <c r="P13" s="616"/>
      <c r="Q13" s="287"/>
      <c r="R13" s="286" t="s">
        <v>212</v>
      </c>
    </row>
    <row r="14" spans="1:21">
      <c r="A14" s="881"/>
      <c r="B14" s="882" t="s">
        <v>410</v>
      </c>
      <c r="C14" s="715"/>
      <c r="D14" s="881"/>
      <c r="E14" s="881"/>
      <c r="F14" s="881"/>
      <c r="G14" s="881"/>
      <c r="H14" s="881"/>
      <c r="I14" s="881"/>
      <c r="J14" s="881"/>
      <c r="K14" s="881"/>
      <c r="L14" s="881"/>
      <c r="M14" s="881"/>
      <c r="N14" s="881"/>
      <c r="O14" s="670"/>
      <c r="P14" s="881"/>
      <c r="Q14" s="287"/>
      <c r="R14" s="286"/>
    </row>
    <row r="15" spans="1:21">
      <c r="A15" s="881"/>
      <c r="B15" s="882" t="s">
        <v>410</v>
      </c>
      <c r="C15" s="881"/>
      <c r="D15" s="881"/>
      <c r="E15" s="881"/>
      <c r="F15" s="881"/>
      <c r="G15" s="881"/>
      <c r="H15" s="881"/>
      <c r="I15" s="881"/>
      <c r="J15" s="881"/>
      <c r="K15" s="881"/>
      <c r="L15" s="881"/>
      <c r="M15" s="881"/>
      <c r="N15" s="881"/>
      <c r="O15" s="881"/>
      <c r="P15" s="881"/>
      <c r="Q15" s="287"/>
      <c r="R15" s="227" t="s">
        <v>186</v>
      </c>
    </row>
    <row r="16" spans="1:21">
      <c r="A16" s="881"/>
      <c r="B16" s="882" t="s">
        <v>411</v>
      </c>
      <c r="C16" s="881"/>
      <c r="D16" s="881"/>
      <c r="E16" s="881"/>
      <c r="F16" s="881"/>
      <c r="G16" s="881"/>
      <c r="H16" s="881"/>
      <c r="I16" s="881"/>
      <c r="J16" s="881"/>
      <c r="K16" s="881"/>
      <c r="L16" s="881"/>
      <c r="M16" s="881"/>
      <c r="N16" s="881"/>
      <c r="O16" s="881"/>
      <c r="P16" s="881"/>
      <c r="Q16" s="287"/>
      <c r="R16" s="244" t="s">
        <v>213</v>
      </c>
    </row>
    <row r="17" spans="1:21">
      <c r="A17" s="881"/>
      <c r="B17" s="882" t="s">
        <v>411</v>
      </c>
      <c r="C17" s="881"/>
      <c r="D17" s="881"/>
      <c r="E17" s="881"/>
      <c r="F17" s="881"/>
      <c r="G17" s="881"/>
      <c r="H17" s="881"/>
      <c r="I17" s="881"/>
      <c r="J17" s="881"/>
      <c r="K17" s="881"/>
      <c r="L17" s="881"/>
      <c r="M17" s="881"/>
      <c r="N17" s="881"/>
      <c r="O17" s="881"/>
      <c r="P17" s="881"/>
      <c r="Q17" s="287"/>
      <c r="R17" s="244" t="s">
        <v>214</v>
      </c>
      <c r="T17" s="243"/>
      <c r="U17" s="245"/>
    </row>
    <row r="18" spans="1:21">
      <c r="A18" s="881"/>
      <c r="B18" s="882" t="s">
        <v>411</v>
      </c>
      <c r="C18" s="881"/>
      <c r="D18" s="881"/>
      <c r="E18" s="881"/>
      <c r="F18" s="881"/>
      <c r="G18" s="881"/>
      <c r="H18" s="881"/>
      <c r="I18" s="881"/>
      <c r="J18" s="881"/>
      <c r="K18" s="881"/>
      <c r="L18" s="881"/>
      <c r="M18" s="881"/>
      <c r="N18" s="881"/>
      <c r="O18" s="881"/>
      <c r="P18" s="881"/>
      <c r="Q18" s="287"/>
      <c r="R18" s="244" t="s">
        <v>211</v>
      </c>
      <c r="T18" s="244"/>
      <c r="U18" s="246"/>
    </row>
    <row r="19" spans="1:21">
      <c r="A19" s="881"/>
      <c r="B19" s="882" t="s">
        <v>130</v>
      </c>
      <c r="C19" s="881"/>
      <c r="D19" s="881"/>
      <c r="E19" s="881"/>
      <c r="F19" s="881"/>
      <c r="G19" s="881"/>
      <c r="H19" s="881"/>
      <c r="I19" s="881"/>
      <c r="J19" s="881"/>
      <c r="K19" s="881"/>
      <c r="L19" s="881"/>
      <c r="M19" s="881"/>
      <c r="N19" s="881"/>
      <c r="O19" s="881"/>
      <c r="P19" s="881"/>
      <c r="R19" s="286"/>
      <c r="T19" s="250"/>
      <c r="U19" s="244"/>
    </row>
    <row r="20" spans="1:21" ht="16" thickBot="1">
      <c r="A20" s="881"/>
      <c r="B20" s="881"/>
      <c r="C20" s="881"/>
      <c r="D20" s="881"/>
      <c r="E20" s="881"/>
      <c r="F20" s="881"/>
      <c r="G20" s="881"/>
      <c r="H20" s="881"/>
      <c r="I20" s="881"/>
      <c r="J20" s="881"/>
      <c r="K20" s="881"/>
      <c r="L20" s="881"/>
      <c r="M20" s="881"/>
      <c r="N20" s="881"/>
      <c r="O20" s="881"/>
      <c r="P20" s="881"/>
      <c r="R20" s="286"/>
      <c r="T20" s="243"/>
      <c r="U20" s="245"/>
    </row>
    <row r="21" spans="1:21" ht="17" thickBot="1">
      <c r="A21" s="698" t="s">
        <v>128</v>
      </c>
      <c r="B21" s="672"/>
      <c r="C21" s="1038" t="s">
        <v>503</v>
      </c>
      <c r="D21" s="1039"/>
      <c r="E21" s="1039"/>
      <c r="F21" s="1039"/>
      <c r="G21" s="1039"/>
      <c r="H21" s="1039"/>
      <c r="I21" s="1039"/>
      <c r="J21" s="1039"/>
      <c r="K21" s="1039"/>
      <c r="L21" s="1039"/>
      <c r="M21" s="1039"/>
      <c r="N21" s="1039"/>
      <c r="O21" s="453">
        <v>1</v>
      </c>
      <c r="P21" s="625" t="s">
        <v>407</v>
      </c>
      <c r="R21" s="286"/>
      <c r="T21" s="243"/>
      <c r="U21" s="245"/>
    </row>
    <row r="22" spans="1:21">
      <c r="A22" s="881"/>
      <c r="B22" s="882" t="s">
        <v>410</v>
      </c>
      <c r="C22" s="715"/>
      <c r="D22" s="881"/>
      <c r="E22" s="881"/>
      <c r="F22" s="881"/>
      <c r="G22" s="881"/>
      <c r="H22" s="881"/>
      <c r="I22" s="881"/>
      <c r="J22" s="881"/>
      <c r="K22" s="881"/>
      <c r="L22" s="881"/>
      <c r="M22" s="881"/>
      <c r="N22" s="881"/>
      <c r="O22" s="616"/>
      <c r="P22" s="616"/>
      <c r="R22" s="244"/>
      <c r="T22" s="243"/>
      <c r="U22" s="247"/>
    </row>
    <row r="23" spans="1:21">
      <c r="A23" s="881"/>
      <c r="B23" s="882" t="s">
        <v>410</v>
      </c>
      <c r="C23" s="715"/>
      <c r="D23" s="881"/>
      <c r="E23" s="881"/>
      <c r="F23" s="881"/>
      <c r="G23" s="881"/>
      <c r="H23" s="881"/>
      <c r="I23" s="881"/>
      <c r="J23" s="881"/>
      <c r="K23" s="881"/>
      <c r="L23" s="881"/>
      <c r="M23" s="881"/>
      <c r="N23" s="881"/>
      <c r="O23" s="616"/>
      <c r="P23" s="616"/>
      <c r="T23" s="243"/>
      <c r="U23" s="247"/>
    </row>
    <row r="24" spans="1:21">
      <c r="A24" s="881"/>
      <c r="B24" s="882" t="s">
        <v>410</v>
      </c>
      <c r="C24" s="881"/>
      <c r="D24" s="881"/>
      <c r="E24" s="881"/>
      <c r="F24" s="881"/>
      <c r="G24" s="881"/>
      <c r="H24" s="881"/>
      <c r="I24" s="881"/>
      <c r="J24" s="881"/>
      <c r="K24" s="881"/>
      <c r="L24" s="881"/>
      <c r="M24" s="881"/>
      <c r="N24" s="881"/>
      <c r="O24" s="616"/>
      <c r="P24" s="616"/>
      <c r="R24" s="244"/>
      <c r="T24" s="243"/>
      <c r="U24" s="249"/>
    </row>
    <row r="25" spans="1:21">
      <c r="A25" s="881"/>
      <c r="B25" s="882" t="s">
        <v>411</v>
      </c>
      <c r="C25" s="881"/>
      <c r="D25" s="881"/>
      <c r="E25" s="881"/>
      <c r="F25" s="881"/>
      <c r="G25" s="881"/>
      <c r="H25" s="881"/>
      <c r="I25" s="881"/>
      <c r="J25" s="881"/>
      <c r="K25" s="881"/>
      <c r="L25" s="881"/>
      <c r="M25" s="881"/>
      <c r="N25" s="881"/>
      <c r="O25" s="616"/>
      <c r="P25" s="616"/>
      <c r="T25" s="250"/>
      <c r="U25" s="244"/>
    </row>
    <row r="26" spans="1:21">
      <c r="A26" s="881"/>
      <c r="B26" s="882" t="s">
        <v>411</v>
      </c>
      <c r="C26" s="881"/>
      <c r="D26" s="881"/>
      <c r="E26" s="881"/>
      <c r="F26" s="881"/>
      <c r="G26" s="881"/>
      <c r="H26" s="881"/>
      <c r="I26" s="881"/>
      <c r="J26" s="881"/>
      <c r="K26" s="881"/>
      <c r="L26" s="881"/>
      <c r="M26" s="881"/>
      <c r="N26" s="881"/>
      <c r="O26" s="616"/>
      <c r="P26" s="616"/>
      <c r="T26" s="243"/>
      <c r="U26" s="249"/>
    </row>
    <row r="27" spans="1:21">
      <c r="A27" s="881"/>
      <c r="B27" s="882" t="s">
        <v>411</v>
      </c>
      <c r="C27" s="881"/>
      <c r="D27" s="881"/>
      <c r="E27" s="881"/>
      <c r="F27" s="881"/>
      <c r="G27" s="881"/>
      <c r="H27" s="881"/>
      <c r="I27" s="881"/>
      <c r="J27" s="881"/>
      <c r="K27" s="881"/>
      <c r="L27" s="881"/>
      <c r="M27" s="881"/>
      <c r="N27" s="881"/>
      <c r="O27" s="616"/>
      <c r="P27" s="616"/>
      <c r="T27" s="243"/>
      <c r="U27" s="249"/>
    </row>
    <row r="28" spans="1:21">
      <c r="A28" s="881"/>
      <c r="B28" s="882" t="s">
        <v>130</v>
      </c>
      <c r="C28" s="881"/>
      <c r="D28" s="881"/>
      <c r="E28" s="881"/>
      <c r="F28" s="881"/>
      <c r="G28" s="881"/>
      <c r="H28" s="881"/>
      <c r="I28" s="881"/>
      <c r="J28" s="881"/>
      <c r="K28" s="881"/>
      <c r="L28" s="881"/>
      <c r="M28" s="881"/>
      <c r="N28" s="881"/>
      <c r="O28" s="616"/>
      <c r="P28" s="616"/>
      <c r="T28" s="243"/>
      <c r="U28" s="249"/>
    </row>
    <row r="29" spans="1:21" ht="16" thickBot="1">
      <c r="A29" s="244"/>
      <c r="B29" s="227"/>
      <c r="C29" s="244"/>
      <c r="D29" s="244"/>
      <c r="E29" s="244"/>
      <c r="F29" s="244"/>
      <c r="G29" s="244"/>
      <c r="H29" s="244"/>
      <c r="I29" s="244"/>
      <c r="J29" s="244"/>
      <c r="K29" s="244"/>
      <c r="L29" s="244"/>
      <c r="M29" s="244"/>
      <c r="N29" s="244"/>
      <c r="O29" s="244"/>
      <c r="T29" s="243"/>
      <c r="U29" s="249"/>
    </row>
    <row r="30" spans="1:21" ht="17" thickBot="1">
      <c r="A30" s="698" t="s">
        <v>129</v>
      </c>
      <c r="B30" s="672"/>
      <c r="C30" s="1038" t="s">
        <v>504</v>
      </c>
      <c r="D30" s="1039"/>
      <c r="E30" s="1039"/>
      <c r="F30" s="1039"/>
      <c r="G30" s="1039"/>
      <c r="H30" s="1039"/>
      <c r="I30" s="1039"/>
      <c r="J30" s="1039"/>
      <c r="K30" s="1039"/>
      <c r="L30" s="1039"/>
      <c r="M30" s="1039"/>
      <c r="N30" s="1039"/>
      <c r="O30" s="453">
        <v>2</v>
      </c>
      <c r="P30" s="625" t="s">
        <v>407</v>
      </c>
      <c r="T30" s="243"/>
      <c r="U30" s="249"/>
    </row>
    <row r="31" spans="1:21">
      <c r="A31" s="881"/>
      <c r="B31" s="882" t="s">
        <v>410</v>
      </c>
      <c r="C31" s="715"/>
      <c r="D31" s="881"/>
      <c r="E31" s="881"/>
      <c r="F31" s="881"/>
      <c r="G31" s="881"/>
      <c r="H31" s="881"/>
      <c r="I31" s="881"/>
      <c r="J31" s="881"/>
      <c r="K31" s="881"/>
      <c r="L31" s="881"/>
      <c r="M31" s="881"/>
      <c r="N31" s="881"/>
      <c r="O31" s="616"/>
      <c r="P31" s="616"/>
      <c r="T31" s="243"/>
      <c r="U31" s="249"/>
    </row>
    <row r="32" spans="1:21">
      <c r="A32" s="881"/>
      <c r="B32" s="882" t="s">
        <v>410</v>
      </c>
      <c r="C32" s="715"/>
      <c r="D32" s="881"/>
      <c r="E32" s="881"/>
      <c r="F32" s="881"/>
      <c r="G32" s="881"/>
      <c r="H32" s="881"/>
      <c r="I32" s="881"/>
      <c r="J32" s="881"/>
      <c r="K32" s="881"/>
      <c r="L32" s="881"/>
      <c r="M32" s="881"/>
      <c r="N32" s="881"/>
      <c r="O32" s="616"/>
      <c r="P32" s="616"/>
      <c r="T32" s="244"/>
      <c r="U32" s="249"/>
    </row>
    <row r="33" spans="1:16">
      <c r="A33" s="881"/>
      <c r="B33" s="882" t="s">
        <v>410</v>
      </c>
      <c r="C33" s="881"/>
      <c r="D33" s="881"/>
      <c r="E33" s="881"/>
      <c r="F33" s="881"/>
      <c r="G33" s="881"/>
      <c r="H33" s="881"/>
      <c r="I33" s="881"/>
      <c r="J33" s="881"/>
      <c r="K33" s="881"/>
      <c r="L33" s="881"/>
      <c r="M33" s="881"/>
      <c r="N33" s="881"/>
      <c r="O33" s="616"/>
      <c r="P33" s="616"/>
    </row>
    <row r="34" spans="1:16">
      <c r="A34" s="881"/>
      <c r="B34" s="882" t="s">
        <v>411</v>
      </c>
      <c r="C34" s="881"/>
      <c r="D34" s="881"/>
      <c r="E34" s="881"/>
      <c r="F34" s="881"/>
      <c r="G34" s="881"/>
      <c r="H34" s="881"/>
      <c r="I34" s="881"/>
      <c r="J34" s="881"/>
      <c r="K34" s="881"/>
      <c r="L34" s="881"/>
      <c r="M34" s="881"/>
      <c r="N34" s="881"/>
      <c r="O34" s="616"/>
      <c r="P34" s="616"/>
    </row>
    <row r="35" spans="1:16">
      <c r="A35" s="881"/>
      <c r="B35" s="882" t="s">
        <v>411</v>
      </c>
      <c r="C35" s="881"/>
      <c r="D35" s="881"/>
      <c r="E35" s="881"/>
      <c r="F35" s="881"/>
      <c r="G35" s="881"/>
      <c r="H35" s="881"/>
      <c r="I35" s="881"/>
      <c r="J35" s="881"/>
      <c r="K35" s="881"/>
      <c r="L35" s="881"/>
      <c r="M35" s="881"/>
      <c r="N35" s="881"/>
      <c r="O35" s="616"/>
      <c r="P35" s="616"/>
    </row>
    <row r="36" spans="1:16">
      <c r="A36" s="881"/>
      <c r="B36" s="882" t="s">
        <v>411</v>
      </c>
      <c r="C36" s="881"/>
      <c r="D36" s="881"/>
      <c r="E36" s="881"/>
      <c r="F36" s="881"/>
      <c r="G36" s="881"/>
      <c r="H36" s="881"/>
      <c r="I36" s="881"/>
      <c r="J36" s="881"/>
      <c r="K36" s="881"/>
      <c r="L36" s="881"/>
      <c r="M36" s="881"/>
      <c r="N36" s="881"/>
      <c r="O36" s="616"/>
      <c r="P36" s="616"/>
    </row>
    <row r="37" spans="1:16">
      <c r="A37" s="881"/>
      <c r="B37" s="882" t="s">
        <v>130</v>
      </c>
      <c r="C37" s="881"/>
      <c r="D37" s="881"/>
      <c r="E37" s="881"/>
      <c r="F37" s="881"/>
      <c r="G37" s="881"/>
      <c r="H37" s="881"/>
      <c r="I37" s="881"/>
      <c r="J37" s="881"/>
      <c r="K37" s="881"/>
      <c r="L37" s="881"/>
      <c r="M37" s="881"/>
      <c r="N37" s="881"/>
      <c r="O37" s="616"/>
      <c r="P37" s="616"/>
    </row>
    <row r="38" spans="1:16">
      <c r="A38" s="244"/>
      <c r="B38" s="244"/>
      <c r="C38" s="244"/>
      <c r="D38" s="244"/>
      <c r="E38" s="244"/>
      <c r="F38" s="244"/>
      <c r="G38" s="244"/>
      <c r="H38" s="244"/>
      <c r="I38" s="244"/>
      <c r="J38" s="244"/>
      <c r="K38" s="244"/>
      <c r="L38" s="244"/>
      <c r="M38" s="244"/>
      <c r="N38" s="244"/>
      <c r="O38" s="244"/>
    </row>
    <row r="39" spans="1:16">
      <c r="A39" s="371" t="s">
        <v>1390</v>
      </c>
      <c r="B39" s="244"/>
      <c r="C39" s="244"/>
      <c r="D39" s="244"/>
      <c r="E39" s="244"/>
      <c r="F39" s="244"/>
      <c r="G39" s="244"/>
      <c r="H39" s="244"/>
      <c r="I39" s="244"/>
      <c r="J39" s="244"/>
      <c r="K39" s="244"/>
      <c r="L39" s="244"/>
      <c r="M39" s="244"/>
      <c r="N39" s="244"/>
      <c r="O39" s="244"/>
    </row>
    <row r="40" spans="1:16" ht="16" thickBot="1"/>
    <row r="41" spans="1:16" ht="17" thickBot="1">
      <c r="A41" s="323" t="s">
        <v>127</v>
      </c>
      <c r="B41" s="234"/>
      <c r="C41" s="235" t="s">
        <v>124</v>
      </c>
      <c r="D41" s="236"/>
      <c r="E41" s="236"/>
      <c r="F41" s="236"/>
      <c r="G41" s="236"/>
      <c r="H41" s="236"/>
      <c r="I41" s="236"/>
      <c r="J41" s="236"/>
      <c r="K41" s="237"/>
      <c r="L41" s="239"/>
      <c r="M41" s="239"/>
      <c r="N41" s="240"/>
      <c r="O41" s="241">
        <v>2</v>
      </c>
      <c r="P41" s="321"/>
    </row>
    <row r="42" spans="1:16">
      <c r="B42" s="242" t="s">
        <v>410</v>
      </c>
      <c r="C42" s="226"/>
      <c r="O42" s="225"/>
    </row>
    <row r="43" spans="1:16">
      <c r="B43" s="242" t="s">
        <v>410</v>
      </c>
      <c r="C43" s="226"/>
      <c r="O43" s="225"/>
    </row>
    <row r="44" spans="1:16">
      <c r="B44" s="242" t="s">
        <v>410</v>
      </c>
      <c r="C44" s="226"/>
      <c r="O44" s="225"/>
    </row>
    <row r="45" spans="1:16">
      <c r="B45" s="242" t="s">
        <v>411</v>
      </c>
      <c r="C45" s="226"/>
      <c r="O45" s="225"/>
    </row>
    <row r="46" spans="1:16">
      <c r="B46" s="242" t="s">
        <v>411</v>
      </c>
      <c r="O46" s="225"/>
    </row>
    <row r="47" spans="1:16">
      <c r="B47" s="242" t="s">
        <v>411</v>
      </c>
      <c r="O47" s="225"/>
    </row>
    <row r="48" spans="1:16">
      <c r="B48" s="242" t="s">
        <v>130</v>
      </c>
      <c r="O48" s="225"/>
    </row>
    <row r="49" spans="1:16" ht="16" thickBot="1">
      <c r="O49" s="225"/>
    </row>
    <row r="50" spans="1:16" ht="17" thickBot="1">
      <c r="A50" s="323" t="s">
        <v>128</v>
      </c>
      <c r="B50" s="234"/>
      <c r="C50" s="1038" t="s">
        <v>71</v>
      </c>
      <c r="D50" s="1039"/>
      <c r="E50" s="1039"/>
      <c r="F50" s="1039"/>
      <c r="G50" s="1039"/>
      <c r="H50" s="1039"/>
      <c r="I50" s="1039"/>
      <c r="J50" s="1039"/>
      <c r="K50" s="1039"/>
      <c r="L50" s="1039"/>
      <c r="M50" s="1039"/>
      <c r="N50" s="1040"/>
      <c r="O50" s="241">
        <v>1</v>
      </c>
      <c r="P50" s="321"/>
    </row>
    <row r="51" spans="1:16">
      <c r="B51" s="242" t="s">
        <v>410</v>
      </c>
      <c r="O51" s="225"/>
    </row>
    <row r="52" spans="1:16">
      <c r="B52" s="242" t="s">
        <v>410</v>
      </c>
      <c r="O52" s="225"/>
    </row>
    <row r="53" spans="1:16">
      <c r="B53" s="242" t="s">
        <v>410</v>
      </c>
    </row>
    <row r="54" spans="1:16">
      <c r="B54" s="242" t="s">
        <v>411</v>
      </c>
    </row>
    <row r="55" spans="1:16">
      <c r="B55" s="242" t="s">
        <v>411</v>
      </c>
    </row>
    <row r="56" spans="1:16">
      <c r="B56" s="242" t="s">
        <v>411</v>
      </c>
    </row>
    <row r="57" spans="1:16">
      <c r="B57" s="242" t="s">
        <v>130</v>
      </c>
    </row>
  </sheetData>
  <mergeCells count="4">
    <mergeCell ref="C50:N50"/>
    <mergeCell ref="C12:N12"/>
    <mergeCell ref="C21:N21"/>
    <mergeCell ref="C30:N30"/>
  </mergeCells>
  <dataValidations count="2">
    <dataValidation type="list" allowBlank="1" showInputMessage="1" showErrorMessage="1" sqref="P41 P50 P11" xr:uid="{00000000-0002-0000-0400-000000000000}">
      <formula1>choix</formula1>
    </dataValidation>
    <dataValidation type="list" allowBlank="1" showInputMessage="1" showErrorMessage="1" sqref="B42:B47 B51:B56 B12:B18 B22:B27 B31:B36" xr:uid="{00000000-0002-0000-0400-000001000000}">
      <formula1>Choix_capacité</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5"/>
    <pageSetUpPr fitToPage="1"/>
  </sheetPr>
  <dimension ref="A3:AA63"/>
  <sheetViews>
    <sheetView topLeftCell="B1" zoomScale="80" zoomScaleNormal="80" workbookViewId="0">
      <selection activeCell="P55" sqref="P4:Y55"/>
    </sheetView>
  </sheetViews>
  <sheetFormatPr baseColWidth="10" defaultRowHeight="15"/>
  <cols>
    <col min="2" max="2" width="13.6640625" customWidth="1"/>
    <col min="3" max="3" width="15" customWidth="1"/>
    <col min="12" max="12" width="14.33203125" customWidth="1"/>
    <col min="13" max="13" width="13.33203125" customWidth="1"/>
    <col min="14" max="14" width="14.1640625" customWidth="1"/>
    <col min="16" max="16" width="18.1640625" style="328" customWidth="1"/>
    <col min="17" max="18" width="17.5" customWidth="1"/>
  </cols>
  <sheetData>
    <row r="3" spans="1:24" ht="16" thickBot="1"/>
    <row r="4" spans="1:24" ht="19">
      <c r="B4" s="270" t="s">
        <v>100</v>
      </c>
      <c r="C4" s="228" t="s">
        <v>126</v>
      </c>
      <c r="D4" s="229" t="s">
        <v>5</v>
      </c>
      <c r="E4" s="227" t="s">
        <v>2</v>
      </c>
      <c r="P4" s="270" t="s">
        <v>100</v>
      </c>
      <c r="Q4" s="228" t="s">
        <v>126</v>
      </c>
      <c r="R4" s="229" t="s">
        <v>5</v>
      </c>
      <c r="S4" s="671" t="s">
        <v>2</v>
      </c>
      <c r="T4" s="983"/>
      <c r="U4" s="983"/>
      <c r="V4" s="983"/>
    </row>
    <row r="5" spans="1:24">
      <c r="C5" s="230" t="s">
        <v>55</v>
      </c>
      <c r="D5" s="357">
        <v>4</v>
      </c>
      <c r="P5" s="983"/>
      <c r="Q5" s="230" t="s">
        <v>55</v>
      </c>
      <c r="R5" s="357">
        <v>4</v>
      </c>
      <c r="S5" s="983"/>
      <c r="T5" s="983"/>
      <c r="U5" s="983"/>
      <c r="V5" s="983"/>
    </row>
    <row r="6" spans="1:24" ht="16" thickBot="1">
      <c r="C6" s="232" t="s">
        <v>62</v>
      </c>
      <c r="D6" s="358">
        <v>78</v>
      </c>
      <c r="E6" s="371" t="s">
        <v>536</v>
      </c>
      <c r="P6" s="983"/>
      <c r="Q6" s="232" t="s">
        <v>62</v>
      </c>
      <c r="R6" s="358">
        <v>78</v>
      </c>
      <c r="S6" s="371"/>
      <c r="T6" s="983"/>
      <c r="U6" s="983"/>
      <c r="V6" s="983"/>
    </row>
    <row r="7" spans="1:24" ht="16" thickBot="1"/>
    <row r="8" spans="1:24" ht="49" thickBot="1">
      <c r="M8" s="320" t="s">
        <v>125</v>
      </c>
      <c r="N8" s="320" t="s">
        <v>408</v>
      </c>
      <c r="O8" s="244"/>
      <c r="P8" s="375"/>
      <c r="Q8" s="244"/>
      <c r="R8" s="244"/>
      <c r="S8" s="244"/>
      <c r="T8" s="244"/>
      <c r="U8" s="244"/>
      <c r="V8" s="244"/>
      <c r="W8" s="244"/>
      <c r="X8" s="244"/>
    </row>
    <row r="9" spans="1:24" ht="17" thickBot="1">
      <c r="O9" s="244"/>
      <c r="P9" s="1041" t="s">
        <v>567</v>
      </c>
      <c r="Q9" s="1042"/>
      <c r="R9" s="1042"/>
      <c r="S9" s="1042"/>
      <c r="T9" s="1042"/>
      <c r="U9" s="1042"/>
      <c r="V9" s="1042"/>
      <c r="W9" s="1042"/>
    </row>
    <row r="10" spans="1:24" ht="17" thickBot="1">
      <c r="A10" s="323" t="s">
        <v>127</v>
      </c>
      <c r="B10" s="234"/>
      <c r="C10" s="1038" t="s">
        <v>476</v>
      </c>
      <c r="D10" s="1039"/>
      <c r="E10" s="1039"/>
      <c r="F10" s="1039"/>
      <c r="G10" s="1039"/>
      <c r="H10" s="1039"/>
      <c r="I10" s="1039"/>
      <c r="J10" s="1039"/>
      <c r="K10" s="1039"/>
      <c r="L10" s="1039"/>
      <c r="M10" s="241">
        <v>2</v>
      </c>
      <c r="N10" s="321" t="s">
        <v>407</v>
      </c>
      <c r="O10" s="379"/>
      <c r="P10" s="244"/>
      <c r="Q10" s="5"/>
      <c r="R10" s="5"/>
    </row>
    <row r="11" spans="1:24" ht="16">
      <c r="B11" s="242" t="s">
        <v>410</v>
      </c>
      <c r="C11" s="716" t="s">
        <v>509</v>
      </c>
      <c r="M11" s="225"/>
      <c r="N11" s="225"/>
      <c r="O11" s="379"/>
      <c r="P11" s="449" t="s">
        <v>784</v>
      </c>
      <c r="Q11" s="5"/>
      <c r="R11" s="5"/>
    </row>
    <row r="12" spans="1:24">
      <c r="B12" s="242" t="s">
        <v>410</v>
      </c>
      <c r="C12" s="715" t="s">
        <v>510</v>
      </c>
      <c r="M12" s="225"/>
      <c r="N12" s="225"/>
      <c r="O12" s="379"/>
      <c r="P12" s="421" t="s">
        <v>476</v>
      </c>
      <c r="Q12" s="5"/>
      <c r="R12" s="5"/>
    </row>
    <row r="13" spans="1:24">
      <c r="B13" s="242" t="s">
        <v>410</v>
      </c>
      <c r="C13" s="715" t="s">
        <v>511</v>
      </c>
      <c r="M13" s="225"/>
      <c r="N13" s="225"/>
      <c r="O13" s="379"/>
      <c r="P13" s="420" t="s">
        <v>410</v>
      </c>
      <c r="Q13" s="268" t="s">
        <v>509</v>
      </c>
      <c r="R13" s="5"/>
    </row>
    <row r="14" spans="1:24">
      <c r="B14" s="242" t="s">
        <v>410</v>
      </c>
      <c r="C14" s="715" t="s">
        <v>512</v>
      </c>
      <c r="M14" s="225"/>
      <c r="N14" s="225"/>
      <c r="O14" s="379"/>
      <c r="P14" s="420" t="s">
        <v>410</v>
      </c>
      <c r="Q14" t="s">
        <v>510</v>
      </c>
      <c r="R14" s="5"/>
    </row>
    <row r="15" spans="1:24">
      <c r="B15" s="242" t="s">
        <v>411</v>
      </c>
      <c r="C15" t="s">
        <v>513</v>
      </c>
      <c r="O15" s="379"/>
      <c r="P15" s="420" t="s">
        <v>410</v>
      </c>
      <c r="Q15" t="s">
        <v>511</v>
      </c>
      <c r="R15" s="5"/>
    </row>
    <row r="16" spans="1:24">
      <c r="B16" s="242" t="s">
        <v>411</v>
      </c>
      <c r="C16" t="s">
        <v>514</v>
      </c>
      <c r="O16" s="379"/>
      <c r="P16" s="420" t="s">
        <v>410</v>
      </c>
      <c r="Q16" t="s">
        <v>512</v>
      </c>
      <c r="R16" s="5"/>
    </row>
    <row r="17" spans="1:18">
      <c r="B17" s="242" t="s">
        <v>130</v>
      </c>
      <c r="C17" s="242" t="s">
        <v>515</v>
      </c>
      <c r="O17" s="379"/>
      <c r="P17" s="420" t="s">
        <v>411</v>
      </c>
      <c r="Q17" t="s">
        <v>513</v>
      </c>
      <c r="R17" s="5"/>
    </row>
    <row r="18" spans="1:18" ht="16" thickBot="1">
      <c r="O18" s="379"/>
      <c r="P18" s="420" t="s">
        <v>411</v>
      </c>
      <c r="Q18" t="s">
        <v>514</v>
      </c>
      <c r="R18" s="5"/>
    </row>
    <row r="19" spans="1:18" ht="15" customHeight="1" thickBot="1">
      <c r="A19" s="325" t="s">
        <v>128</v>
      </c>
      <c r="B19" s="324"/>
      <c r="C19" s="1045" t="s">
        <v>477</v>
      </c>
      <c r="D19" s="1039"/>
      <c r="E19" s="1039"/>
      <c r="F19" s="1039"/>
      <c r="G19" s="1039"/>
      <c r="H19" s="1039"/>
      <c r="I19" s="1039"/>
      <c r="J19" s="1039"/>
      <c r="K19" s="1039"/>
      <c r="L19" s="1039"/>
      <c r="M19" s="374">
        <v>2</v>
      </c>
      <c r="N19" s="321" t="s">
        <v>407</v>
      </c>
      <c r="O19" s="379"/>
    </row>
    <row r="20" spans="1:18" ht="15" customHeight="1">
      <c r="A20" s="382"/>
      <c r="B20" s="383"/>
      <c r="C20" s="384"/>
      <c r="D20" s="351"/>
      <c r="E20" s="351"/>
      <c r="F20" s="351"/>
      <c r="G20" s="351"/>
      <c r="H20" s="351"/>
      <c r="I20" s="351"/>
      <c r="J20" s="351"/>
      <c r="K20" s="351"/>
      <c r="L20" s="351"/>
      <c r="M20" s="385"/>
      <c r="N20" s="244"/>
      <c r="O20" s="379"/>
      <c r="P20" s="422" t="s">
        <v>477</v>
      </c>
      <c r="Q20" s="244"/>
      <c r="R20" s="244"/>
    </row>
    <row r="21" spans="1:18">
      <c r="A21" s="372" t="s">
        <v>520</v>
      </c>
      <c r="B21" s="242"/>
      <c r="C21" s="371" t="s">
        <v>516</v>
      </c>
      <c r="M21" s="225"/>
      <c r="N21" s="225"/>
      <c r="O21" s="379"/>
      <c r="P21" s="373" t="s">
        <v>520</v>
      </c>
      <c r="Q21" s="352" t="s">
        <v>516</v>
      </c>
      <c r="R21" s="244"/>
    </row>
    <row r="22" spans="1:18">
      <c r="B22" s="242" t="s">
        <v>410</v>
      </c>
      <c r="C22" s="715" t="s">
        <v>517</v>
      </c>
      <c r="M22" s="225"/>
      <c r="N22" s="225"/>
      <c r="O22" s="379"/>
      <c r="P22" s="420" t="s">
        <v>410</v>
      </c>
      <c r="Q22" s="353" t="s">
        <v>517</v>
      </c>
      <c r="R22" s="244"/>
    </row>
    <row r="23" spans="1:18">
      <c r="B23" s="242" t="s">
        <v>410</v>
      </c>
      <c r="C23" s="715" t="s">
        <v>518</v>
      </c>
      <c r="O23" s="379"/>
      <c r="P23" s="420" t="s">
        <v>410</v>
      </c>
      <c r="Q23" s="353" t="s">
        <v>518</v>
      </c>
      <c r="R23" s="244"/>
    </row>
    <row r="24" spans="1:18">
      <c r="B24" s="242" t="s">
        <v>410</v>
      </c>
      <c r="C24" s="715" t="s">
        <v>518</v>
      </c>
      <c r="O24" s="379"/>
      <c r="P24" s="420" t="s">
        <v>410</v>
      </c>
      <c r="Q24" s="353" t="s">
        <v>518</v>
      </c>
      <c r="R24" s="244"/>
    </row>
    <row r="25" spans="1:18">
      <c r="B25" s="242" t="s">
        <v>411</v>
      </c>
      <c r="C25" t="s">
        <v>519</v>
      </c>
      <c r="O25" s="379"/>
      <c r="P25" s="420" t="s">
        <v>411</v>
      </c>
      <c r="Q25" s="353" t="s">
        <v>519</v>
      </c>
    </row>
    <row r="26" spans="1:18">
      <c r="O26" s="379"/>
      <c r="P26" s="298"/>
    </row>
    <row r="27" spans="1:18">
      <c r="A27" s="393" t="s">
        <v>520</v>
      </c>
      <c r="B27" s="393"/>
      <c r="C27" s="390" t="s">
        <v>521</v>
      </c>
      <c r="O27" s="379"/>
      <c r="P27" s="393" t="s">
        <v>520</v>
      </c>
      <c r="Q27" s="376" t="s">
        <v>521</v>
      </c>
    </row>
    <row r="28" spans="1:18">
      <c r="B28" s="242" t="s">
        <v>410</v>
      </c>
      <c r="C28" s="716" t="s">
        <v>522</v>
      </c>
      <c r="O28" s="379"/>
      <c r="P28" s="420" t="s">
        <v>410</v>
      </c>
      <c r="Q28" s="369" t="s">
        <v>522</v>
      </c>
    </row>
    <row r="29" spans="1:18">
      <c r="B29" s="242" t="s">
        <v>410</v>
      </c>
      <c r="C29" s="715" t="s">
        <v>523</v>
      </c>
      <c r="O29" s="379"/>
      <c r="P29" s="420" t="s">
        <v>410</v>
      </c>
      <c r="Q29" s="353" t="s">
        <v>523</v>
      </c>
    </row>
    <row r="30" spans="1:18">
      <c r="B30" s="242" t="s">
        <v>410</v>
      </c>
      <c r="C30" s="716" t="s">
        <v>524</v>
      </c>
      <c r="O30" s="379"/>
      <c r="P30" s="420" t="s">
        <v>410</v>
      </c>
      <c r="Q30" s="369" t="s">
        <v>524</v>
      </c>
    </row>
    <row r="31" spans="1:18">
      <c r="B31" s="242" t="s">
        <v>411</v>
      </c>
      <c r="C31" s="369" t="s">
        <v>525</v>
      </c>
      <c r="O31" s="379"/>
      <c r="P31" s="420" t="s">
        <v>411</v>
      </c>
      <c r="Q31" s="369" t="s">
        <v>525</v>
      </c>
    </row>
    <row r="32" spans="1:18">
      <c r="B32" s="242" t="s">
        <v>411</v>
      </c>
      <c r="C32" s="369" t="s">
        <v>526</v>
      </c>
      <c r="O32" s="379"/>
      <c r="P32" s="420" t="s">
        <v>411</v>
      </c>
      <c r="Q32" s="369" t="s">
        <v>526</v>
      </c>
    </row>
    <row r="33" spans="2:17">
      <c r="B33" s="242" t="s">
        <v>411</v>
      </c>
      <c r="C33" s="369" t="s">
        <v>527</v>
      </c>
      <c r="O33" s="379"/>
      <c r="P33" s="420" t="s">
        <v>411</v>
      </c>
      <c r="Q33" s="369" t="s">
        <v>527</v>
      </c>
    </row>
    <row r="34" spans="2:17">
      <c r="O34" s="379"/>
      <c r="P34" s="244"/>
    </row>
    <row r="35" spans="2:17" ht="16">
      <c r="B35" s="242" t="s">
        <v>130</v>
      </c>
      <c r="C35" s="242" t="s">
        <v>528</v>
      </c>
      <c r="O35" s="379"/>
      <c r="P35" s="448" t="s">
        <v>186</v>
      </c>
    </row>
    <row r="36" spans="2:17">
      <c r="O36" s="379"/>
      <c r="P36" s="227" t="s">
        <v>530</v>
      </c>
    </row>
    <row r="37" spans="2:17">
      <c r="O37" s="379"/>
      <c r="P37" s="286" t="s">
        <v>215</v>
      </c>
    </row>
    <row r="38" spans="2:17">
      <c r="O38" s="379"/>
      <c r="P38" s="286" t="s">
        <v>216</v>
      </c>
    </row>
    <row r="39" spans="2:17">
      <c r="O39" s="379"/>
      <c r="P39" s="286" t="s">
        <v>217</v>
      </c>
    </row>
    <row r="40" spans="2:17">
      <c r="O40" s="379"/>
      <c r="P40" s="227" t="s">
        <v>531</v>
      </c>
    </row>
    <row r="41" spans="2:17">
      <c r="O41" s="379"/>
      <c r="P41" s="286" t="s">
        <v>218</v>
      </c>
    </row>
    <row r="42" spans="2:17">
      <c r="O42" s="379"/>
      <c r="P42" s="286" t="s">
        <v>219</v>
      </c>
    </row>
    <row r="43" spans="2:17">
      <c r="O43" s="379"/>
      <c r="P43" s="286" t="s">
        <v>220</v>
      </c>
    </row>
    <row r="44" spans="2:17">
      <c r="O44" s="379"/>
      <c r="P44" s="286" t="s">
        <v>221</v>
      </c>
    </row>
    <row r="45" spans="2:17">
      <c r="O45" s="379"/>
      <c r="P45" s="227" t="s">
        <v>532</v>
      </c>
    </row>
    <row r="46" spans="2:17">
      <c r="O46" s="379"/>
      <c r="P46" s="286" t="s">
        <v>222</v>
      </c>
    </row>
    <row r="47" spans="2:17">
      <c r="O47" s="379"/>
      <c r="P47" s="286" t="s">
        <v>223</v>
      </c>
    </row>
    <row r="48" spans="2:17">
      <c r="O48" s="379"/>
      <c r="P48" s="377" t="s">
        <v>300</v>
      </c>
    </row>
    <row r="49" spans="15:27">
      <c r="O49" s="379"/>
      <c r="P49" s="378" t="s">
        <v>1462</v>
      </c>
    </row>
    <row r="50" spans="15:27" ht="32.25" customHeight="1">
      <c r="O50" s="379"/>
      <c r="P50" s="1048" t="s">
        <v>533</v>
      </c>
      <c r="Q50" s="1049"/>
      <c r="R50" s="1049"/>
      <c r="S50" s="1049"/>
      <c r="T50" s="1049"/>
      <c r="U50" s="1049"/>
      <c r="V50" s="1049"/>
      <c r="W50" s="1049"/>
      <c r="X50" s="1049"/>
      <c r="Y50" s="988"/>
      <c r="Z50" s="988"/>
      <c r="AA50" s="988"/>
    </row>
    <row r="51" spans="15:27" ht="18.75" customHeight="1">
      <c r="O51" s="379"/>
      <c r="P51" s="378" t="s">
        <v>534</v>
      </c>
    </row>
    <row r="52" spans="15:27">
      <c r="O52" s="379"/>
      <c r="P52" s="375"/>
    </row>
    <row r="53" spans="15:27">
      <c r="O53" s="379"/>
      <c r="P53" s="377" t="s">
        <v>535</v>
      </c>
    </row>
    <row r="54" spans="15:27">
      <c r="O54" s="379"/>
      <c r="P54" s="227" t="s">
        <v>515</v>
      </c>
    </row>
    <row r="55" spans="15:27" ht="29.25" customHeight="1">
      <c r="O55" s="379"/>
      <c r="P55" s="1046" t="s">
        <v>528</v>
      </c>
      <c r="Q55" s="1047"/>
      <c r="R55" s="1047"/>
      <c r="S55" s="1047"/>
      <c r="T55" s="1047"/>
      <c r="U55" s="1047"/>
      <c r="V55" s="1047"/>
      <c r="W55" s="1047"/>
      <c r="X55" s="1047"/>
    </row>
    <row r="56" spans="15:27">
      <c r="O56" s="244"/>
      <c r="P56" s="286"/>
    </row>
    <row r="57" spans="15:27">
      <c r="O57" s="244"/>
      <c r="P57" s="375"/>
    </row>
    <row r="58" spans="15:27">
      <c r="O58" s="244"/>
      <c r="P58" s="375"/>
    </row>
    <row r="59" spans="15:27">
      <c r="O59" s="244"/>
      <c r="P59" s="375"/>
    </row>
    <row r="60" spans="15:27">
      <c r="O60" s="244"/>
      <c r="P60" s="375"/>
    </row>
    <row r="61" spans="15:27">
      <c r="O61" s="244"/>
      <c r="P61" s="375"/>
    </row>
    <row r="62" spans="15:27">
      <c r="O62" s="244"/>
      <c r="P62" s="375"/>
    </row>
    <row r="63" spans="15:27">
      <c r="O63" s="244"/>
      <c r="P63" s="375"/>
    </row>
  </sheetData>
  <mergeCells count="5">
    <mergeCell ref="C10:L10"/>
    <mergeCell ref="C19:L19"/>
    <mergeCell ref="P9:W9"/>
    <mergeCell ref="P55:X55"/>
    <mergeCell ref="P50:X50"/>
  </mergeCells>
  <dataValidations count="2">
    <dataValidation type="list" allowBlank="1" showInputMessage="1" showErrorMessage="1" sqref="N10 N19:N20" xr:uid="{00000000-0002-0000-0500-000000000000}">
      <formula1>choix</formula1>
    </dataValidation>
    <dataValidation type="list" allowBlank="1" showInputMessage="1" showErrorMessage="1" sqref="B11:B16 B28:B33 B21:B25 P13:P18 P22:P25 P28:P33" xr:uid="{00000000-0002-0000-0500-000001000000}">
      <formula1>Choix_capacité</formula1>
    </dataValidation>
  </dataValidations>
  <pageMargins left="0.7" right="0.7" top="0.75" bottom="0.75" header="0.3" footer="0.3"/>
  <pageSetup paperSize="9" scale="28"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tabColor theme="5"/>
    <pageSetUpPr fitToPage="1"/>
  </sheetPr>
  <dimension ref="A3:AC56"/>
  <sheetViews>
    <sheetView topLeftCell="B2" zoomScale="80" zoomScaleNormal="80" workbookViewId="0">
      <selection activeCell="P56" sqref="P4:Y56"/>
    </sheetView>
  </sheetViews>
  <sheetFormatPr baseColWidth="10" defaultRowHeight="15"/>
  <cols>
    <col min="2" max="2" width="13.6640625" customWidth="1"/>
    <col min="3" max="3" width="15" customWidth="1"/>
    <col min="12" max="12" width="18.83203125" customWidth="1"/>
    <col min="13" max="14" width="13.5" bestFit="1" customWidth="1"/>
    <col min="16" max="16" width="20.5" customWidth="1"/>
    <col min="17" max="17" width="16.5" style="238" customWidth="1"/>
    <col min="22" max="22" width="16.1640625" customWidth="1"/>
    <col min="29" max="29" width="17.5" customWidth="1"/>
  </cols>
  <sheetData>
    <row r="3" spans="1:29" ht="16" thickBot="1"/>
    <row r="4" spans="1:29" ht="19">
      <c r="B4" s="270" t="s">
        <v>100</v>
      </c>
      <c r="C4" s="228" t="s">
        <v>126</v>
      </c>
      <c r="D4" s="229" t="s">
        <v>6</v>
      </c>
      <c r="E4" s="227" t="s">
        <v>0</v>
      </c>
      <c r="P4" s="270" t="s">
        <v>100</v>
      </c>
      <c r="Q4" s="228" t="s">
        <v>126</v>
      </c>
      <c r="R4" s="229" t="s">
        <v>6</v>
      </c>
      <c r="S4" s="671" t="s">
        <v>0</v>
      </c>
      <c r="T4" s="983"/>
      <c r="U4" s="983"/>
    </row>
    <row r="5" spans="1:29">
      <c r="C5" s="230" t="s">
        <v>55</v>
      </c>
      <c r="D5" s="231">
        <v>4</v>
      </c>
      <c r="P5" s="983"/>
      <c r="Q5" s="230" t="s">
        <v>55</v>
      </c>
      <c r="R5" s="231">
        <v>4</v>
      </c>
      <c r="S5" s="983"/>
      <c r="T5" s="983"/>
      <c r="U5" s="983"/>
    </row>
    <row r="6" spans="1:29" ht="16" thickBot="1">
      <c r="C6" s="232" t="s">
        <v>62</v>
      </c>
      <c r="D6" s="252">
        <v>72</v>
      </c>
      <c r="P6" s="983"/>
      <c r="Q6" s="232" t="s">
        <v>62</v>
      </c>
      <c r="R6" s="986">
        <v>72</v>
      </c>
      <c r="S6" s="983"/>
      <c r="T6" s="983"/>
      <c r="U6" s="983"/>
    </row>
    <row r="7" spans="1:29" ht="16" thickBot="1">
      <c r="O7" s="244"/>
      <c r="P7" s="244"/>
      <c r="Q7" s="258"/>
      <c r="R7" s="244"/>
      <c r="S7" s="244"/>
      <c r="T7" s="244"/>
      <c r="U7" s="244"/>
      <c r="V7" s="244"/>
      <c r="W7" s="268"/>
    </row>
    <row r="8" spans="1:29" ht="49" thickBot="1">
      <c r="M8" s="320" t="s">
        <v>125</v>
      </c>
      <c r="N8" s="320" t="s">
        <v>408</v>
      </c>
      <c r="O8" s="244"/>
      <c r="P8" s="244"/>
      <c r="Q8" s="258"/>
      <c r="R8" s="244"/>
      <c r="S8" s="244"/>
      <c r="T8" s="244"/>
      <c r="U8" s="244"/>
      <c r="V8" s="244"/>
      <c r="W8" s="268"/>
    </row>
    <row r="9" spans="1:29" ht="16" thickBot="1">
      <c r="O9" s="244"/>
      <c r="P9" s="244"/>
      <c r="X9" s="266"/>
      <c r="Y9" s="266"/>
      <c r="Z9" s="266"/>
      <c r="AA9" s="266"/>
      <c r="AB9" s="266"/>
      <c r="AC9" s="266"/>
    </row>
    <row r="10" spans="1:29" ht="17" thickBot="1">
      <c r="A10" s="323" t="s">
        <v>127</v>
      </c>
      <c r="B10" s="234"/>
      <c r="C10" s="428" t="s">
        <v>480</v>
      </c>
      <c r="D10" s="429"/>
      <c r="E10" s="429"/>
      <c r="F10" s="429"/>
      <c r="G10" s="429"/>
      <c r="H10" s="429"/>
      <c r="I10" s="429"/>
      <c r="J10" s="429"/>
      <c r="K10" s="430"/>
      <c r="L10" s="239"/>
      <c r="M10" s="241">
        <v>2</v>
      </c>
      <c r="N10" s="321" t="s">
        <v>407</v>
      </c>
      <c r="O10" s="292"/>
      <c r="P10" s="1041" t="s">
        <v>567</v>
      </c>
      <c r="Q10" s="1042"/>
      <c r="R10" s="1042"/>
      <c r="S10" s="1042"/>
      <c r="T10" s="1042"/>
      <c r="U10" s="1042"/>
      <c r="V10" s="1042"/>
      <c r="W10" s="1042"/>
      <c r="X10" s="5"/>
      <c r="Y10" s="5"/>
      <c r="Z10" s="5"/>
      <c r="AA10" s="5"/>
      <c r="AB10" s="5"/>
      <c r="AC10" s="5"/>
    </row>
    <row r="11" spans="1:29" ht="16">
      <c r="A11" s="370" t="s">
        <v>660</v>
      </c>
      <c r="B11" s="396"/>
      <c r="C11" s="390" t="s">
        <v>753</v>
      </c>
      <c r="D11" s="431"/>
      <c r="E11" s="431"/>
      <c r="F11" s="431"/>
      <c r="G11" s="431"/>
      <c r="H11" s="431"/>
      <c r="I11" s="431"/>
      <c r="J11" s="431"/>
      <c r="K11" s="431"/>
      <c r="L11" s="433"/>
      <c r="M11" s="256"/>
      <c r="N11" s="244"/>
      <c r="O11" s="292"/>
      <c r="P11" s="227"/>
      <c r="Q11" s="258"/>
      <c r="R11" s="258"/>
      <c r="S11" s="258"/>
      <c r="T11" s="258"/>
      <c r="U11" s="258"/>
      <c r="V11" s="258"/>
      <c r="W11" s="244"/>
      <c r="X11" s="5"/>
      <c r="Y11" s="5"/>
      <c r="Z11" s="5"/>
      <c r="AA11" s="5"/>
      <c r="AB11" s="5"/>
      <c r="AC11" s="5"/>
    </row>
    <row r="12" spans="1:29" ht="16">
      <c r="A12" s="446"/>
      <c r="B12" s="242" t="s">
        <v>410</v>
      </c>
      <c r="C12" s="715" t="s">
        <v>754</v>
      </c>
      <c r="D12" s="431"/>
      <c r="E12" s="431"/>
      <c r="F12" s="431"/>
      <c r="G12" s="431"/>
      <c r="H12" s="431"/>
      <c r="I12" s="431"/>
      <c r="J12" s="431"/>
      <c r="K12" s="431"/>
      <c r="L12" s="433"/>
      <c r="M12" s="256"/>
      <c r="N12" s="244"/>
      <c r="O12" s="292"/>
      <c r="P12" s="448" t="s">
        <v>784</v>
      </c>
      <c r="Q12" s="258"/>
      <c r="R12" s="258"/>
      <c r="S12" s="258"/>
      <c r="T12" s="258"/>
      <c r="U12" s="258"/>
      <c r="V12" s="258"/>
      <c r="W12" s="244"/>
      <c r="X12" s="5"/>
      <c r="Y12" s="5"/>
      <c r="Z12" s="5"/>
      <c r="AA12" s="5"/>
      <c r="AB12" s="5"/>
      <c r="AC12" s="5"/>
    </row>
    <row r="13" spans="1:29" ht="16">
      <c r="A13" s="446"/>
      <c r="B13" s="242" t="s">
        <v>410</v>
      </c>
      <c r="C13" s="717" t="s">
        <v>755</v>
      </c>
      <c r="D13" s="431"/>
      <c r="E13" s="431"/>
      <c r="F13" s="431"/>
      <c r="G13" s="431"/>
      <c r="H13" s="431"/>
      <c r="I13" s="431"/>
      <c r="J13" s="431"/>
      <c r="K13" s="431"/>
      <c r="L13" s="433"/>
      <c r="M13" s="256"/>
      <c r="N13" s="244"/>
      <c r="O13" s="292"/>
      <c r="P13" s="431" t="s">
        <v>480</v>
      </c>
      <c r="Q13" s="244"/>
      <c r="X13" s="5"/>
      <c r="Y13" s="5"/>
      <c r="Z13" s="5"/>
      <c r="AA13" s="5"/>
      <c r="AB13" s="5"/>
      <c r="AC13" s="5"/>
    </row>
    <row r="14" spans="1:29" ht="16">
      <c r="A14" s="446"/>
      <c r="B14" s="242" t="s">
        <v>410</v>
      </c>
      <c r="C14" s="715" t="s">
        <v>756</v>
      </c>
      <c r="D14" s="431"/>
      <c r="E14" s="431"/>
      <c r="F14" s="431"/>
      <c r="G14" s="431"/>
      <c r="H14" s="431"/>
      <c r="I14" s="431"/>
      <c r="J14" s="431"/>
      <c r="K14" s="431"/>
      <c r="L14" s="433"/>
      <c r="M14" s="256"/>
      <c r="N14" s="244"/>
      <c r="O14" s="292"/>
      <c r="P14" s="370" t="s">
        <v>660</v>
      </c>
      <c r="Q14" s="376" t="s">
        <v>753</v>
      </c>
      <c r="X14" s="5"/>
      <c r="Y14" s="5"/>
      <c r="Z14" s="5"/>
      <c r="AA14" s="5"/>
      <c r="AB14" s="5"/>
      <c r="AC14" s="5"/>
    </row>
    <row r="15" spans="1:29" ht="16">
      <c r="A15" s="446"/>
      <c r="B15" s="242" t="s">
        <v>410</v>
      </c>
      <c r="C15" s="717" t="s">
        <v>757</v>
      </c>
      <c r="D15" s="431"/>
      <c r="E15" s="431"/>
      <c r="F15" s="431"/>
      <c r="G15" s="431"/>
      <c r="H15" s="431"/>
      <c r="I15" s="431"/>
      <c r="J15" s="431"/>
      <c r="K15" s="431"/>
      <c r="L15" s="433"/>
      <c r="M15" s="256"/>
      <c r="N15" s="244"/>
      <c r="O15" s="292"/>
      <c r="P15" s="425" t="s">
        <v>410</v>
      </c>
      <c r="Q15" t="s">
        <v>754</v>
      </c>
      <c r="X15" s="5"/>
      <c r="Y15" s="5"/>
      <c r="Z15" s="5"/>
      <c r="AA15" s="5"/>
      <c r="AB15" s="5"/>
      <c r="AC15" s="5"/>
    </row>
    <row r="16" spans="1:29" ht="16">
      <c r="A16" s="446"/>
      <c r="B16" s="242" t="s">
        <v>411</v>
      </c>
      <c r="C16" t="s">
        <v>758</v>
      </c>
      <c r="D16" s="431"/>
      <c r="E16" s="431"/>
      <c r="F16" s="431"/>
      <c r="G16" s="431"/>
      <c r="H16" s="431"/>
      <c r="I16" s="431"/>
      <c r="J16" s="431"/>
      <c r="K16" s="431"/>
      <c r="L16" s="433"/>
      <c r="M16" s="256"/>
      <c r="N16" s="375"/>
      <c r="O16" s="292"/>
      <c r="P16" s="425" t="s">
        <v>410</v>
      </c>
      <c r="Q16" s="375" t="s">
        <v>755</v>
      </c>
      <c r="X16" s="5"/>
      <c r="Y16" s="5"/>
      <c r="Z16" s="5"/>
      <c r="AA16" s="5"/>
      <c r="AB16" s="5"/>
      <c r="AC16" s="5"/>
    </row>
    <row r="17" spans="1:29" ht="16">
      <c r="A17" s="370" t="s">
        <v>660</v>
      </c>
      <c r="B17" s="396"/>
      <c r="C17" s="390" t="s">
        <v>759</v>
      </c>
      <c r="D17" s="431"/>
      <c r="E17" s="431"/>
      <c r="F17" s="431"/>
      <c r="G17" s="431"/>
      <c r="H17" s="431"/>
      <c r="I17" s="431"/>
      <c r="J17" s="431"/>
      <c r="K17" s="431"/>
      <c r="L17" s="433"/>
      <c r="M17" s="256"/>
      <c r="N17" s="244"/>
      <c r="O17" s="292"/>
      <c r="P17" s="425" t="s">
        <v>410</v>
      </c>
      <c r="Q17" t="s">
        <v>756</v>
      </c>
      <c r="X17" s="5"/>
      <c r="Y17" s="5"/>
      <c r="Z17" s="5"/>
      <c r="AA17" s="5"/>
      <c r="AB17" s="5"/>
      <c r="AC17" s="5"/>
    </row>
    <row r="18" spans="1:29">
      <c r="B18" s="242" t="s">
        <v>410</v>
      </c>
      <c r="C18" s="715" t="s">
        <v>760</v>
      </c>
      <c r="M18" s="225"/>
      <c r="N18" s="225"/>
      <c r="O18" s="292"/>
      <c r="P18" s="425" t="s">
        <v>410</v>
      </c>
      <c r="Q18" t="s">
        <v>757</v>
      </c>
      <c r="X18" s="5"/>
      <c r="Y18" s="5"/>
      <c r="Z18" s="5"/>
      <c r="AA18" s="5"/>
      <c r="AB18" s="5"/>
      <c r="AC18" s="5"/>
    </row>
    <row r="19" spans="1:29">
      <c r="B19" s="242" t="s">
        <v>410</v>
      </c>
      <c r="C19" s="717" t="s">
        <v>761</v>
      </c>
      <c r="M19" s="225"/>
      <c r="N19" s="225"/>
      <c r="O19" s="292"/>
      <c r="P19" s="425" t="s">
        <v>411</v>
      </c>
      <c r="Q19" t="s">
        <v>758</v>
      </c>
      <c r="X19" s="244"/>
      <c r="Y19" s="244"/>
      <c r="Z19" s="244"/>
      <c r="AA19" s="244"/>
      <c r="AB19" s="244"/>
      <c r="AC19" s="244"/>
    </row>
    <row r="20" spans="1:29" ht="16">
      <c r="B20" s="242" t="s">
        <v>411</v>
      </c>
      <c r="C20" t="s">
        <v>762</v>
      </c>
      <c r="M20" s="225"/>
      <c r="N20" s="225"/>
      <c r="O20" s="292"/>
      <c r="P20" s="370" t="s">
        <v>660</v>
      </c>
      <c r="Q20" s="376" t="s">
        <v>759</v>
      </c>
      <c r="X20" s="244"/>
      <c r="Y20" s="244"/>
      <c r="Z20" s="244"/>
      <c r="AA20" s="244"/>
      <c r="AB20" s="244"/>
      <c r="AC20" s="244"/>
    </row>
    <row r="21" spans="1:29" ht="16">
      <c r="A21" s="370" t="s">
        <v>660</v>
      </c>
      <c r="B21" s="371"/>
      <c r="C21" s="390" t="s">
        <v>763</v>
      </c>
      <c r="D21" s="386"/>
      <c r="M21" s="225"/>
      <c r="N21" s="225"/>
      <c r="O21" s="292"/>
      <c r="P21" s="425" t="s">
        <v>410</v>
      </c>
      <c r="Q21" t="s">
        <v>760</v>
      </c>
    </row>
    <row r="22" spans="1:29">
      <c r="B22" s="242" t="s">
        <v>410</v>
      </c>
      <c r="C22" s="715" t="s">
        <v>764</v>
      </c>
      <c r="M22" s="225"/>
      <c r="N22" s="225"/>
      <c r="O22" s="292"/>
      <c r="P22" s="425" t="s">
        <v>410</v>
      </c>
      <c r="Q22" s="375" t="s">
        <v>761</v>
      </c>
    </row>
    <row r="23" spans="1:29">
      <c r="B23" s="242" t="s">
        <v>410</v>
      </c>
      <c r="C23" s="715" t="s">
        <v>765</v>
      </c>
      <c r="M23" s="225"/>
      <c r="N23" s="225"/>
      <c r="O23" s="292"/>
      <c r="P23" s="425" t="s">
        <v>411</v>
      </c>
      <c r="Q23" t="s">
        <v>762</v>
      </c>
    </row>
    <row r="24" spans="1:29" ht="16">
      <c r="B24" s="242" t="s">
        <v>411</v>
      </c>
      <c r="C24" t="s">
        <v>766</v>
      </c>
      <c r="M24" s="225"/>
      <c r="N24" s="225"/>
      <c r="O24" s="292"/>
      <c r="P24" s="370" t="s">
        <v>660</v>
      </c>
      <c r="Q24" s="376" t="s">
        <v>763</v>
      </c>
      <c r="W24" s="244"/>
    </row>
    <row r="25" spans="1:29">
      <c r="B25" s="242" t="s">
        <v>130</v>
      </c>
      <c r="C25" s="242" t="s">
        <v>767</v>
      </c>
      <c r="M25" s="225"/>
      <c r="N25" s="225"/>
      <c r="O25" s="292"/>
      <c r="P25" s="425" t="s">
        <v>410</v>
      </c>
      <c r="Q25" t="s">
        <v>764</v>
      </c>
    </row>
    <row r="26" spans="1:29" ht="16" thickBot="1">
      <c r="M26" s="225"/>
      <c r="N26" s="225"/>
      <c r="O26" s="292"/>
      <c r="P26" s="425" t="s">
        <v>410</v>
      </c>
      <c r="Q26" t="s">
        <v>765</v>
      </c>
    </row>
    <row r="27" spans="1:29" ht="17" thickBot="1">
      <c r="A27" s="323" t="s">
        <v>128</v>
      </c>
      <c r="B27" s="234"/>
      <c r="C27" s="1038" t="s">
        <v>476</v>
      </c>
      <c r="D27" s="1039"/>
      <c r="E27" s="1039"/>
      <c r="F27" s="1039"/>
      <c r="G27" s="1039"/>
      <c r="H27" s="1039"/>
      <c r="I27" s="1039"/>
      <c r="J27" s="1039"/>
      <c r="K27" s="1039"/>
      <c r="L27" s="1039"/>
      <c r="M27" s="241">
        <v>1</v>
      </c>
      <c r="N27" s="321" t="s">
        <v>407</v>
      </c>
      <c r="O27" s="292"/>
      <c r="P27" s="425" t="s">
        <v>411</v>
      </c>
      <c r="Q27" t="s">
        <v>766</v>
      </c>
    </row>
    <row r="28" spans="1:29" ht="16">
      <c r="A28" s="370" t="s">
        <v>660</v>
      </c>
      <c r="B28" s="396"/>
      <c r="C28" s="390" t="s">
        <v>768</v>
      </c>
      <c r="D28" s="431"/>
      <c r="E28" s="431"/>
      <c r="F28" s="431"/>
      <c r="G28" s="431"/>
      <c r="H28" s="431"/>
      <c r="I28" s="431"/>
      <c r="J28" s="431"/>
      <c r="K28" s="431"/>
      <c r="L28" s="431"/>
      <c r="M28" s="256"/>
      <c r="N28" s="244"/>
      <c r="O28" s="292"/>
    </row>
    <row r="29" spans="1:29">
      <c r="B29" s="242" t="s">
        <v>410</v>
      </c>
      <c r="C29" s="715" t="s">
        <v>769</v>
      </c>
      <c r="M29" s="225"/>
      <c r="N29" s="225"/>
      <c r="O29" s="292"/>
      <c r="P29" s="431" t="s">
        <v>476</v>
      </c>
      <c r="Q29" s="244"/>
    </row>
    <row r="30" spans="1:29" ht="16">
      <c r="B30" s="242" t="s">
        <v>410</v>
      </c>
      <c r="C30" s="715" t="s">
        <v>770</v>
      </c>
      <c r="M30" s="225"/>
      <c r="N30" s="225"/>
      <c r="O30" s="292"/>
      <c r="P30" s="370" t="s">
        <v>660</v>
      </c>
      <c r="Q30" s="376" t="s">
        <v>768</v>
      </c>
    </row>
    <row r="31" spans="1:29">
      <c r="B31" s="242" t="s">
        <v>410</v>
      </c>
      <c r="C31" s="715" t="s">
        <v>771</v>
      </c>
      <c r="O31" s="292"/>
      <c r="P31" s="425" t="s">
        <v>410</v>
      </c>
      <c r="Q31" t="s">
        <v>769</v>
      </c>
    </row>
    <row r="32" spans="1:29">
      <c r="B32" s="242" t="s">
        <v>411</v>
      </c>
      <c r="C32" t="s">
        <v>772</v>
      </c>
      <c r="N32" s="375"/>
      <c r="O32" s="292"/>
      <c r="P32" s="425" t="s">
        <v>410</v>
      </c>
      <c r="Q32" t="s">
        <v>770</v>
      </c>
    </row>
    <row r="33" spans="2:17">
      <c r="B33" s="242" t="s">
        <v>411</v>
      </c>
      <c r="C33" t="s">
        <v>773</v>
      </c>
      <c r="N33" s="375"/>
      <c r="O33" s="292"/>
      <c r="P33" s="425" t="s">
        <v>410</v>
      </c>
      <c r="Q33" t="s">
        <v>771</v>
      </c>
    </row>
    <row r="34" spans="2:17">
      <c r="B34" s="242" t="s">
        <v>130</v>
      </c>
      <c r="C34" s="242" t="s">
        <v>774</v>
      </c>
      <c r="O34" s="292"/>
      <c r="P34" s="425" t="s">
        <v>411</v>
      </c>
      <c r="Q34" t="s">
        <v>772</v>
      </c>
    </row>
    <row r="35" spans="2:17">
      <c r="O35" s="292"/>
      <c r="P35" s="425" t="s">
        <v>411</v>
      </c>
      <c r="Q35" t="s">
        <v>773</v>
      </c>
    </row>
    <row r="36" spans="2:17">
      <c r="O36" s="292"/>
      <c r="P36" s="369"/>
      <c r="Q36" s="244"/>
    </row>
    <row r="37" spans="2:17" ht="16">
      <c r="O37" s="292"/>
      <c r="P37" s="448" t="s">
        <v>186</v>
      </c>
      <c r="Q37" s="244"/>
    </row>
    <row r="38" spans="2:17">
      <c r="O38" s="292"/>
      <c r="P38" s="227" t="s">
        <v>775</v>
      </c>
      <c r="Q38" s="244"/>
    </row>
    <row r="39" spans="2:17">
      <c r="O39" s="292"/>
      <c r="P39" s="286" t="s">
        <v>776</v>
      </c>
      <c r="Q39" s="244"/>
    </row>
    <row r="40" spans="2:17">
      <c r="O40" s="292"/>
      <c r="P40" s="286" t="s">
        <v>777</v>
      </c>
      <c r="Q40" s="244"/>
    </row>
    <row r="41" spans="2:17">
      <c r="O41" s="292"/>
      <c r="P41" s="286"/>
      <c r="Q41" s="244"/>
    </row>
    <row r="42" spans="2:17">
      <c r="O42" s="292"/>
      <c r="P42" s="227" t="s">
        <v>778</v>
      </c>
      <c r="Q42" s="244"/>
    </row>
    <row r="43" spans="2:17">
      <c r="O43" s="292"/>
      <c r="P43" s="286" t="s">
        <v>779</v>
      </c>
      <c r="Q43" s="244"/>
    </row>
    <row r="44" spans="2:17">
      <c r="O44" s="292"/>
      <c r="P44" s="286" t="s">
        <v>780</v>
      </c>
      <c r="Q44" s="244"/>
    </row>
    <row r="45" spans="2:17">
      <c r="O45" s="292"/>
      <c r="P45" s="286"/>
      <c r="Q45" s="244"/>
    </row>
    <row r="46" spans="2:17">
      <c r="O46" s="292"/>
      <c r="P46" s="227" t="s">
        <v>781</v>
      </c>
      <c r="Q46" s="244"/>
    </row>
    <row r="47" spans="2:17">
      <c r="O47" s="292"/>
      <c r="P47" s="286" t="s">
        <v>225</v>
      </c>
      <c r="Q47" s="244"/>
    </row>
    <row r="48" spans="2:17">
      <c r="O48" s="292"/>
      <c r="P48" s="286" t="s">
        <v>226</v>
      </c>
      <c r="Q48" s="244"/>
    </row>
    <row r="49" spans="15:24">
      <c r="O49" s="292"/>
      <c r="Q49" s="244"/>
    </row>
    <row r="50" spans="15:24">
      <c r="O50" s="292"/>
      <c r="P50" s="377" t="s">
        <v>300</v>
      </c>
      <c r="Q50" s="244"/>
    </row>
    <row r="51" spans="15:24">
      <c r="O51" s="292"/>
      <c r="P51" s="1050" t="s">
        <v>782</v>
      </c>
      <c r="Q51" s="1049"/>
      <c r="R51" s="1049"/>
      <c r="S51" s="1049"/>
      <c r="T51" s="1049"/>
      <c r="U51" s="1049"/>
      <c r="V51" s="1049"/>
      <c r="W51" s="1049"/>
      <c r="X51" s="988"/>
    </row>
    <row r="52" spans="15:24">
      <c r="O52" s="292"/>
      <c r="P52" s="378" t="s">
        <v>783</v>
      </c>
      <c r="Q52" s="244"/>
    </row>
    <row r="53" spans="15:24">
      <c r="O53" s="292"/>
      <c r="P53" s="375"/>
      <c r="Q53" s="244"/>
    </row>
    <row r="54" spans="15:24">
      <c r="O54" s="292"/>
      <c r="P54" s="377" t="s">
        <v>535</v>
      </c>
      <c r="Q54" s="244"/>
    </row>
    <row r="55" spans="15:24">
      <c r="O55" s="292"/>
      <c r="P55" s="242" t="s">
        <v>767</v>
      </c>
      <c r="Q55" s="244"/>
    </row>
    <row r="56" spans="15:24">
      <c r="O56" s="292"/>
      <c r="P56" s="242" t="s">
        <v>774</v>
      </c>
      <c r="Q56" s="244"/>
    </row>
  </sheetData>
  <mergeCells count="3">
    <mergeCell ref="C27:L27"/>
    <mergeCell ref="P10:W10"/>
    <mergeCell ref="P51:W51"/>
  </mergeCells>
  <dataValidations disablePrompts="1" count="2">
    <dataValidation type="list" allowBlank="1" showInputMessage="1" showErrorMessage="1" sqref="N27:N28 N10:N17" xr:uid="{00000000-0002-0000-0600-000000000000}">
      <formula1>choix</formula1>
    </dataValidation>
    <dataValidation type="list" allowBlank="1" showInputMessage="1" showErrorMessage="1" sqref="B18:B24 B29:B33 P21:P23 P25:P27 P31:P35" xr:uid="{00000000-0002-0000-0600-000001000000}">
      <formula1>Choix_capacité</formula1>
    </dataValidation>
  </dataValidations>
  <pageMargins left="0.7" right="0.7" top="0.75" bottom="0.75" header="0.3" footer="0.3"/>
  <pageSetup paperSize="9" scale="2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tabColor theme="5"/>
    <pageSetUpPr fitToPage="1"/>
  </sheetPr>
  <dimension ref="A3:AA55"/>
  <sheetViews>
    <sheetView topLeftCell="A13" zoomScale="70" zoomScaleNormal="70" workbookViewId="0">
      <selection activeCell="P4" sqref="P4:AA53"/>
    </sheetView>
  </sheetViews>
  <sheetFormatPr baseColWidth="10" defaultRowHeight="15"/>
  <cols>
    <col min="2" max="2" width="13.6640625" customWidth="1"/>
    <col min="3" max="3" width="15.5" customWidth="1"/>
    <col min="13" max="14" width="13.5" bestFit="1" customWidth="1"/>
    <col min="16" max="16" width="16.5" customWidth="1"/>
    <col min="17" max="17" width="17.6640625" style="238" customWidth="1"/>
    <col min="22" max="22" width="25.83203125" customWidth="1"/>
    <col min="29" max="29" width="17.5" customWidth="1"/>
  </cols>
  <sheetData>
    <row r="3" spans="1:26" ht="16" thickBot="1"/>
    <row r="4" spans="1:26" ht="19">
      <c r="B4" s="270" t="s">
        <v>100</v>
      </c>
      <c r="C4" s="228" t="s">
        <v>126</v>
      </c>
      <c r="D4" s="229" t="s">
        <v>1</v>
      </c>
      <c r="E4" s="227" t="s">
        <v>131</v>
      </c>
      <c r="P4" s="270" t="s">
        <v>100</v>
      </c>
      <c r="Q4" s="228" t="s">
        <v>126</v>
      </c>
      <c r="R4" s="229" t="s">
        <v>1</v>
      </c>
      <c r="S4" s="671" t="s">
        <v>131</v>
      </c>
      <c r="T4" s="983"/>
    </row>
    <row r="5" spans="1:26">
      <c r="C5" s="230" t="s">
        <v>55</v>
      </c>
      <c r="D5" s="231">
        <v>5</v>
      </c>
      <c r="P5" s="983"/>
      <c r="Q5" s="230" t="s">
        <v>55</v>
      </c>
      <c r="R5" s="231">
        <v>5</v>
      </c>
      <c r="S5" s="983"/>
      <c r="T5" s="983"/>
    </row>
    <row r="6" spans="1:26" ht="16" thickBot="1">
      <c r="C6" s="232" t="s">
        <v>62</v>
      </c>
      <c r="D6" s="223">
        <v>66</v>
      </c>
      <c r="P6" s="983"/>
      <c r="Q6" s="232" t="s">
        <v>62</v>
      </c>
      <c r="R6" s="986">
        <v>66</v>
      </c>
      <c r="S6" s="983"/>
      <c r="T6" s="983"/>
    </row>
    <row r="7" spans="1:26" ht="16" thickBot="1">
      <c r="Q7"/>
    </row>
    <row r="8" spans="1:26" ht="49" thickBot="1">
      <c r="M8" s="320" t="s">
        <v>125</v>
      </c>
      <c r="N8" s="320" t="s">
        <v>408</v>
      </c>
      <c r="Q8"/>
    </row>
    <row r="9" spans="1:26" ht="17" thickBot="1">
      <c r="P9" s="1041" t="s">
        <v>567</v>
      </c>
      <c r="Q9" s="1042"/>
      <c r="R9" s="1042"/>
      <c r="S9" s="1042"/>
      <c r="T9" s="1042"/>
      <c r="U9" s="1042"/>
      <c r="V9" s="1042"/>
      <c r="W9" s="1042"/>
    </row>
    <row r="10" spans="1:26" ht="17" thickBot="1">
      <c r="A10" s="698" t="s">
        <v>127</v>
      </c>
      <c r="B10" s="672"/>
      <c r="C10" s="1038" t="s">
        <v>480</v>
      </c>
      <c r="D10" s="1039"/>
      <c r="E10" s="1039"/>
      <c r="F10" s="1039"/>
      <c r="G10" s="1039"/>
      <c r="H10" s="1039"/>
      <c r="I10" s="1039"/>
      <c r="J10" s="1039"/>
      <c r="K10" s="1039"/>
      <c r="L10" s="1039"/>
      <c r="M10" s="678">
        <v>2</v>
      </c>
      <c r="N10" s="786" t="s">
        <v>407</v>
      </c>
      <c r="O10" s="690"/>
      <c r="P10" s="686"/>
      <c r="Q10" s="781"/>
      <c r="R10" s="781"/>
      <c r="S10" s="781"/>
      <c r="T10" s="781"/>
      <c r="U10" s="781"/>
      <c r="V10" s="781"/>
      <c r="W10" s="680"/>
    </row>
    <row r="11" spans="1:26" ht="16">
      <c r="A11" s="666"/>
      <c r="B11" s="679" t="s">
        <v>410</v>
      </c>
      <c r="C11" s="1059" t="s">
        <v>1317</v>
      </c>
      <c r="D11" s="1059"/>
      <c r="E11" s="1059"/>
      <c r="F11" s="1059"/>
      <c r="G11" s="1059"/>
      <c r="H11" s="1059"/>
      <c r="I11" s="1059"/>
      <c r="J11" s="1059"/>
      <c r="K11" s="1059"/>
      <c r="L11" s="1059"/>
      <c r="M11" s="670"/>
      <c r="N11" s="670"/>
      <c r="O11" s="690"/>
      <c r="P11" s="448" t="s">
        <v>784</v>
      </c>
      <c r="Q11" s="781"/>
      <c r="R11" s="781"/>
      <c r="S11" s="781"/>
      <c r="T11" s="781"/>
      <c r="U11" s="781"/>
      <c r="V11" s="781"/>
      <c r="W11" s="680"/>
    </row>
    <row r="12" spans="1:26">
      <c r="A12" s="666"/>
      <c r="B12" s="679" t="s">
        <v>410</v>
      </c>
      <c r="C12" s="787" t="s">
        <v>1319</v>
      </c>
      <c r="D12" s="788"/>
      <c r="E12" s="788"/>
      <c r="F12" s="788"/>
      <c r="G12" s="788"/>
      <c r="H12" s="788"/>
      <c r="I12" s="788"/>
      <c r="J12" s="788"/>
      <c r="K12" s="788"/>
      <c r="L12" s="788"/>
      <c r="M12" s="670"/>
      <c r="N12" s="670"/>
      <c r="O12" s="690"/>
      <c r="P12" s="179" t="s">
        <v>480</v>
      </c>
      <c r="Q12" s="179"/>
      <c r="R12" s="179"/>
      <c r="S12" s="179"/>
      <c r="T12" s="666"/>
      <c r="U12" s="666"/>
      <c r="V12" s="666"/>
      <c r="W12" s="666"/>
    </row>
    <row r="13" spans="1:26">
      <c r="A13" s="666"/>
      <c r="B13" s="679" t="s">
        <v>411</v>
      </c>
      <c r="C13" s="1053" t="s">
        <v>1322</v>
      </c>
      <c r="D13" s="1053"/>
      <c r="E13" s="1053"/>
      <c r="F13" s="1053"/>
      <c r="G13" s="1053"/>
      <c r="H13" s="1053"/>
      <c r="I13" s="1053"/>
      <c r="J13" s="1053"/>
      <c r="K13" s="1053"/>
      <c r="L13" s="1053"/>
      <c r="M13" s="666"/>
      <c r="N13" s="616"/>
      <c r="O13" s="690"/>
      <c r="P13" s="506" t="s">
        <v>410</v>
      </c>
      <c r="Q13" s="1059" t="s">
        <v>1317</v>
      </c>
      <c r="R13" s="1059"/>
      <c r="S13" s="1059"/>
      <c r="T13" s="1059"/>
      <c r="U13" s="1059"/>
      <c r="V13" s="1059"/>
      <c r="W13" s="1059"/>
      <c r="X13" s="1059"/>
      <c r="Y13" s="1059"/>
      <c r="Z13" s="1059"/>
    </row>
    <row r="14" spans="1:26">
      <c r="A14" s="666"/>
      <c r="B14" s="679" t="s">
        <v>411</v>
      </c>
      <c r="C14" s="1054" t="s">
        <v>1324</v>
      </c>
      <c r="D14" s="1054"/>
      <c r="E14" s="1054"/>
      <c r="F14" s="1054"/>
      <c r="G14" s="1054"/>
      <c r="H14" s="1054"/>
      <c r="I14" s="1054"/>
      <c r="J14" s="1054"/>
      <c r="K14" s="1054"/>
      <c r="L14" s="1054"/>
      <c r="M14" s="666"/>
      <c r="N14" s="616"/>
      <c r="O14" s="690"/>
      <c r="P14" s="506" t="s">
        <v>410</v>
      </c>
      <c r="Q14" s="787" t="s">
        <v>1319</v>
      </c>
      <c r="R14" s="788"/>
      <c r="S14" s="788"/>
      <c r="T14" s="788"/>
      <c r="U14" s="788"/>
      <c r="V14" s="788"/>
      <c r="W14" s="788"/>
      <c r="X14" s="788"/>
      <c r="Y14" s="788"/>
      <c r="Z14" s="788"/>
    </row>
    <row r="15" spans="1:26">
      <c r="A15" s="666"/>
      <c r="B15" s="679" t="s">
        <v>411</v>
      </c>
      <c r="C15" s="1055" t="s">
        <v>1327</v>
      </c>
      <c r="D15" s="1055"/>
      <c r="E15" s="1055"/>
      <c r="F15" s="1055"/>
      <c r="G15" s="1055"/>
      <c r="H15" s="1055"/>
      <c r="I15" s="1055"/>
      <c r="J15" s="1055"/>
      <c r="K15" s="1055"/>
      <c r="L15" s="666"/>
      <c r="M15" s="666"/>
      <c r="N15" s="616"/>
      <c r="O15" s="690"/>
      <c r="P15" s="506" t="s">
        <v>411</v>
      </c>
      <c r="Q15" s="1053" t="s">
        <v>1322</v>
      </c>
      <c r="R15" s="1053"/>
      <c r="S15" s="1053"/>
      <c r="T15" s="1053"/>
      <c r="U15" s="1053"/>
      <c r="V15" s="1053"/>
      <c r="W15" s="1053"/>
      <c r="X15" s="1053"/>
      <c r="Y15" s="1053"/>
      <c r="Z15" s="1053"/>
    </row>
    <row r="16" spans="1:26">
      <c r="A16" s="666"/>
      <c r="B16" s="679" t="s">
        <v>130</v>
      </c>
      <c r="C16" s="1052" t="s">
        <v>1344</v>
      </c>
      <c r="D16" s="1052"/>
      <c r="E16" s="1052"/>
      <c r="F16" s="1052"/>
      <c r="G16" s="1052"/>
      <c r="H16" s="1052"/>
      <c r="I16" s="1052"/>
      <c r="J16" s="1052"/>
      <c r="K16" s="1052"/>
      <c r="L16" s="1052"/>
      <c r="M16" s="666"/>
      <c r="N16" s="616"/>
      <c r="O16" s="690"/>
      <c r="P16" s="506" t="s">
        <v>411</v>
      </c>
      <c r="Q16" s="1054" t="s">
        <v>1324</v>
      </c>
      <c r="R16" s="1054"/>
      <c r="S16" s="1054"/>
      <c r="T16" s="1054"/>
      <c r="U16" s="1054"/>
      <c r="V16" s="1054"/>
      <c r="W16" s="1054"/>
      <c r="X16" s="1054"/>
      <c r="Y16" s="1054"/>
      <c r="Z16" s="1054"/>
    </row>
    <row r="17" spans="1:26" ht="16" thickBot="1">
      <c r="O17" s="690"/>
      <c r="P17" s="506" t="s">
        <v>411</v>
      </c>
      <c r="Q17" s="1055" t="s">
        <v>1327</v>
      </c>
      <c r="R17" s="1055"/>
      <c r="S17" s="1055"/>
      <c r="T17" s="1055"/>
      <c r="U17" s="1055"/>
      <c r="V17" s="1055"/>
      <c r="W17" s="1055"/>
      <c r="X17" s="1055"/>
      <c r="Y17" s="1055"/>
      <c r="Z17" s="666"/>
    </row>
    <row r="18" spans="1:26" ht="15" customHeight="1" thickBot="1">
      <c r="A18" s="698" t="s">
        <v>128</v>
      </c>
      <c r="B18" s="672"/>
      <c r="C18" s="778" t="s">
        <v>64</v>
      </c>
      <c r="D18" s="779"/>
      <c r="E18" s="779"/>
      <c r="F18" s="779"/>
      <c r="G18" s="779"/>
      <c r="H18" s="779"/>
      <c r="I18" s="779"/>
      <c r="J18" s="779"/>
      <c r="K18" s="780"/>
      <c r="L18" s="676"/>
      <c r="M18" s="678">
        <v>2</v>
      </c>
      <c r="N18" s="786" t="s">
        <v>407</v>
      </c>
      <c r="O18" s="690"/>
      <c r="P18" s="666"/>
      <c r="Q18" s="782"/>
      <c r="R18" s="666"/>
      <c r="S18" s="666"/>
      <c r="T18" s="666"/>
      <c r="U18" s="666"/>
      <c r="V18" s="666"/>
      <c r="W18" s="666"/>
    </row>
    <row r="19" spans="1:26" ht="15" customHeight="1">
      <c r="A19" s="666"/>
      <c r="B19" s="679" t="s">
        <v>410</v>
      </c>
      <c r="C19" s="1065" t="s">
        <v>1316</v>
      </c>
      <c r="D19" s="1065"/>
      <c r="E19" s="1065"/>
      <c r="F19" s="1065"/>
      <c r="G19" s="1065"/>
      <c r="H19" s="1065"/>
      <c r="I19" s="1065"/>
      <c r="J19" s="1065"/>
      <c r="K19" s="1065"/>
      <c r="L19" s="1065"/>
      <c r="M19" s="670"/>
      <c r="N19" s="670"/>
      <c r="O19" s="690"/>
      <c r="P19" s="784" t="s">
        <v>64</v>
      </c>
      <c r="Q19" s="781"/>
      <c r="R19" s="680"/>
      <c r="S19" s="680"/>
      <c r="T19" s="680"/>
      <c r="U19" s="680"/>
      <c r="V19" s="680"/>
      <c r="W19" s="680"/>
      <c r="X19" s="680"/>
      <c r="Y19" s="680"/>
      <c r="Z19" s="680"/>
    </row>
    <row r="20" spans="1:26">
      <c r="A20" s="666"/>
      <c r="B20" s="679" t="s">
        <v>410</v>
      </c>
      <c r="C20" s="1059" t="s">
        <v>1317</v>
      </c>
      <c r="D20" s="1059"/>
      <c r="E20" s="1059"/>
      <c r="F20" s="1059"/>
      <c r="G20" s="1059"/>
      <c r="H20" s="1059"/>
      <c r="I20" s="1059"/>
      <c r="J20" s="1059"/>
      <c r="K20" s="1059"/>
      <c r="L20" s="1059"/>
      <c r="M20" s="670"/>
      <c r="N20" s="670"/>
      <c r="O20" s="690"/>
      <c r="P20" s="506" t="s">
        <v>410</v>
      </c>
      <c r="Q20" s="1060" t="s">
        <v>1316</v>
      </c>
      <c r="R20" s="1060"/>
      <c r="S20" s="1060"/>
      <c r="T20" s="1060"/>
      <c r="U20" s="1060"/>
      <c r="V20" s="1060"/>
      <c r="W20" s="1060"/>
      <c r="X20" s="1060"/>
      <c r="Y20" s="1060"/>
      <c r="Z20" s="1060"/>
    </row>
    <row r="21" spans="1:26">
      <c r="A21" s="666"/>
      <c r="B21" s="679" t="s">
        <v>410</v>
      </c>
      <c r="C21" s="1060" t="s">
        <v>1318</v>
      </c>
      <c r="D21" s="1060"/>
      <c r="E21" s="1060"/>
      <c r="F21" s="1060"/>
      <c r="G21" s="1060"/>
      <c r="H21" s="1060"/>
      <c r="I21" s="1060"/>
      <c r="J21" s="1060"/>
      <c r="K21" s="1060"/>
      <c r="L21" s="1060"/>
      <c r="M21" s="670"/>
      <c r="N21" s="670"/>
      <c r="O21" s="690"/>
      <c r="P21" s="506" t="s">
        <v>410</v>
      </c>
      <c r="Q21" s="1059" t="s">
        <v>1317</v>
      </c>
      <c r="R21" s="1059"/>
      <c r="S21" s="1059"/>
      <c r="T21" s="1059"/>
      <c r="U21" s="1059"/>
      <c r="V21" s="1059"/>
      <c r="W21" s="1059"/>
      <c r="X21" s="1059"/>
      <c r="Y21" s="1059"/>
      <c r="Z21" s="1059"/>
    </row>
    <row r="22" spans="1:26">
      <c r="A22" s="666"/>
      <c r="B22" s="679" t="s">
        <v>410</v>
      </c>
      <c r="C22" s="787" t="s">
        <v>1319</v>
      </c>
      <c r="D22" s="788"/>
      <c r="E22" s="788"/>
      <c r="F22" s="788"/>
      <c r="G22" s="788"/>
      <c r="H22" s="788"/>
      <c r="I22" s="788"/>
      <c r="J22" s="788"/>
      <c r="K22" s="788"/>
      <c r="L22" s="788"/>
      <c r="M22" s="670"/>
      <c r="N22" s="670"/>
      <c r="O22" s="690"/>
      <c r="P22" s="506" t="s">
        <v>410</v>
      </c>
      <c r="Q22" s="1060" t="s">
        <v>1318</v>
      </c>
      <c r="R22" s="1060"/>
      <c r="S22" s="1060"/>
      <c r="T22" s="1060"/>
      <c r="U22" s="1060"/>
      <c r="V22" s="1060"/>
      <c r="W22" s="1060"/>
      <c r="X22" s="1060"/>
      <c r="Y22" s="1060"/>
      <c r="Z22" s="1060"/>
    </row>
    <row r="23" spans="1:26">
      <c r="A23" s="666"/>
      <c r="B23" s="679" t="s">
        <v>410</v>
      </c>
      <c r="C23" s="1056" t="s">
        <v>1320</v>
      </c>
      <c r="D23" s="1056"/>
      <c r="E23" s="1056"/>
      <c r="F23" s="1056"/>
      <c r="G23" s="1056"/>
      <c r="H23" s="1056"/>
      <c r="I23" s="1056"/>
      <c r="J23" s="1056"/>
      <c r="K23" s="1056"/>
      <c r="L23" s="1056"/>
      <c r="M23" s="670"/>
      <c r="N23" s="670"/>
      <c r="O23" s="690"/>
      <c r="P23" s="506" t="s">
        <v>410</v>
      </c>
      <c r="Q23" s="787" t="s">
        <v>1319</v>
      </c>
      <c r="R23" s="788"/>
      <c r="S23" s="788"/>
      <c r="T23" s="788"/>
      <c r="U23" s="788"/>
      <c r="V23" s="788"/>
      <c r="W23" s="788"/>
      <c r="X23" s="788"/>
      <c r="Y23" s="788"/>
      <c r="Z23" s="788"/>
    </row>
    <row r="24" spans="1:26">
      <c r="A24" s="666"/>
      <c r="B24" s="679" t="s">
        <v>410</v>
      </c>
      <c r="C24" s="1057" t="s">
        <v>1321</v>
      </c>
      <c r="D24" s="1057"/>
      <c r="E24" s="1057"/>
      <c r="F24" s="1057"/>
      <c r="G24" s="1057"/>
      <c r="H24" s="1057"/>
      <c r="I24" s="1057"/>
      <c r="J24" s="1057"/>
      <c r="K24" s="1057"/>
      <c r="L24" s="1057"/>
      <c r="M24" s="670"/>
      <c r="N24" s="670"/>
      <c r="O24" s="690"/>
      <c r="P24" s="506" t="s">
        <v>410</v>
      </c>
      <c r="Q24" s="1056" t="s">
        <v>1320</v>
      </c>
      <c r="R24" s="1056"/>
      <c r="S24" s="1056"/>
      <c r="T24" s="1056"/>
      <c r="U24" s="1056"/>
      <c r="V24" s="1056"/>
      <c r="W24" s="1056"/>
      <c r="X24" s="1056"/>
      <c r="Y24" s="1056"/>
      <c r="Z24" s="1056"/>
    </row>
    <row r="25" spans="1:26">
      <c r="A25" s="666"/>
      <c r="B25" s="679" t="s">
        <v>411</v>
      </c>
      <c r="C25" s="1053" t="s">
        <v>1322</v>
      </c>
      <c r="D25" s="1053"/>
      <c r="E25" s="1053"/>
      <c r="F25" s="1053"/>
      <c r="G25" s="1053"/>
      <c r="H25" s="1053"/>
      <c r="I25" s="1053"/>
      <c r="J25" s="1053"/>
      <c r="K25" s="1053"/>
      <c r="L25" s="1053"/>
      <c r="M25" s="670"/>
      <c r="N25" s="670"/>
      <c r="O25" s="690"/>
      <c r="P25" s="506" t="s">
        <v>410</v>
      </c>
      <c r="Q25" s="1057" t="s">
        <v>1321</v>
      </c>
      <c r="R25" s="1057"/>
      <c r="S25" s="1057"/>
      <c r="T25" s="1057"/>
      <c r="U25" s="1057"/>
      <c r="V25" s="1057"/>
      <c r="W25" s="1057"/>
      <c r="X25" s="1057"/>
      <c r="Y25" s="1057"/>
      <c r="Z25" s="1057"/>
    </row>
    <row r="26" spans="1:26">
      <c r="A26" s="666"/>
      <c r="B26" s="679" t="s">
        <v>411</v>
      </c>
      <c r="C26" s="1053" t="s">
        <v>1323</v>
      </c>
      <c r="D26" s="1053"/>
      <c r="E26" s="1053"/>
      <c r="F26" s="1053"/>
      <c r="G26" s="1053"/>
      <c r="H26" s="1053"/>
      <c r="I26" s="1053"/>
      <c r="J26" s="1053"/>
      <c r="K26" s="1053"/>
      <c r="L26" s="1053"/>
      <c r="M26" s="670"/>
      <c r="N26" s="670"/>
      <c r="O26" s="690"/>
      <c r="P26" s="506" t="s">
        <v>411</v>
      </c>
      <c r="Q26" s="1053" t="s">
        <v>1322</v>
      </c>
      <c r="R26" s="1053"/>
      <c r="S26" s="1053"/>
      <c r="T26" s="1053"/>
      <c r="U26" s="1053"/>
      <c r="V26" s="1053"/>
      <c r="W26" s="1053"/>
      <c r="X26" s="1053"/>
      <c r="Y26" s="1053"/>
      <c r="Z26" s="1053"/>
    </row>
    <row r="27" spans="1:26">
      <c r="A27" s="666"/>
      <c r="B27" s="679" t="s">
        <v>411</v>
      </c>
      <c r="C27" s="495" t="s">
        <v>1324</v>
      </c>
      <c r="D27" s="495"/>
      <c r="E27" s="495"/>
      <c r="F27" s="495"/>
      <c r="G27" s="495"/>
      <c r="H27" s="495"/>
      <c r="I27" s="495"/>
      <c r="J27" s="495"/>
      <c r="K27" s="495"/>
      <c r="L27" s="495"/>
      <c r="M27" s="670"/>
      <c r="N27" s="670"/>
      <c r="O27" s="690"/>
      <c r="P27" s="506" t="s">
        <v>411</v>
      </c>
      <c r="Q27" s="1053" t="s">
        <v>1323</v>
      </c>
      <c r="R27" s="1058"/>
      <c r="S27" s="1058"/>
      <c r="T27" s="1058"/>
      <c r="U27" s="1058"/>
      <c r="V27" s="1058"/>
      <c r="W27" s="1058"/>
      <c r="X27" s="1058"/>
      <c r="Y27" s="666"/>
      <c r="Z27" s="666"/>
    </row>
    <row r="28" spans="1:26">
      <c r="A28" s="666"/>
      <c r="B28" s="679" t="s">
        <v>411</v>
      </c>
      <c r="C28" s="666" t="s">
        <v>1325</v>
      </c>
      <c r="D28" s="666"/>
      <c r="E28" s="666"/>
      <c r="F28" s="666"/>
      <c r="G28" s="666"/>
      <c r="H28" s="666"/>
      <c r="I28" s="666"/>
      <c r="J28" s="666"/>
      <c r="K28" s="666"/>
      <c r="L28" s="666"/>
      <c r="M28" s="670"/>
      <c r="N28" s="670"/>
      <c r="O28" s="690"/>
      <c r="P28" s="506" t="s">
        <v>411</v>
      </c>
      <c r="Q28" s="1054" t="s">
        <v>1324</v>
      </c>
      <c r="R28" s="1054"/>
      <c r="S28" s="1054"/>
      <c r="T28" s="1054"/>
      <c r="U28" s="1054"/>
      <c r="V28" s="1054"/>
      <c r="W28" s="1054"/>
      <c r="X28" s="1054"/>
      <c r="Y28" s="1054"/>
      <c r="Z28" s="1054"/>
    </row>
    <row r="29" spans="1:26">
      <c r="A29" s="666"/>
      <c r="B29" s="679" t="s">
        <v>130</v>
      </c>
      <c r="C29" s="679" t="s">
        <v>1326</v>
      </c>
      <c r="D29" s="679"/>
      <c r="E29" s="679"/>
      <c r="F29" s="679"/>
      <c r="G29" s="679"/>
      <c r="H29" s="679"/>
      <c r="I29" s="679"/>
      <c r="J29" s="679"/>
      <c r="K29" s="679"/>
      <c r="L29" s="679"/>
      <c r="M29" s="670"/>
      <c r="N29" s="670"/>
      <c r="O29" s="690"/>
      <c r="P29" s="506" t="s">
        <v>411</v>
      </c>
      <c r="Q29" s="1055" t="s">
        <v>1325</v>
      </c>
      <c r="R29" s="1055"/>
      <c r="S29" s="1055"/>
      <c r="T29" s="1055"/>
      <c r="U29" s="1055"/>
      <c r="V29" s="1055"/>
      <c r="W29" s="1055"/>
      <c r="X29" s="1055"/>
      <c r="Y29" s="1055"/>
      <c r="Z29" s="1055"/>
    </row>
    <row r="30" spans="1:26" ht="16" thickBot="1">
      <c r="A30" s="666"/>
      <c r="B30" s="666"/>
      <c r="C30" s="666"/>
      <c r="D30" s="666"/>
      <c r="E30" s="666"/>
      <c r="F30" s="666"/>
      <c r="G30" s="666"/>
      <c r="H30" s="666"/>
      <c r="I30" s="666"/>
      <c r="J30" s="666"/>
      <c r="K30" s="666"/>
      <c r="L30" s="666"/>
      <c r="M30" s="666"/>
      <c r="N30" s="616"/>
      <c r="O30" s="690"/>
      <c r="P30" s="495"/>
      <c r="Q30" s="680"/>
      <c r="R30" s="666"/>
      <c r="S30" s="666"/>
      <c r="T30" s="666"/>
      <c r="U30" s="666"/>
      <c r="V30" s="666"/>
      <c r="W30" s="666"/>
    </row>
    <row r="31" spans="1:26" ht="17" thickBot="1">
      <c r="A31" s="698" t="s">
        <v>1328</v>
      </c>
      <c r="B31" s="672"/>
      <c r="C31" s="1038" t="s">
        <v>71</v>
      </c>
      <c r="D31" s="1039"/>
      <c r="E31" s="1039"/>
      <c r="F31" s="1039"/>
      <c r="G31" s="1039"/>
      <c r="H31" s="1039"/>
      <c r="I31" s="1039"/>
      <c r="J31" s="1039"/>
      <c r="K31" s="1039"/>
      <c r="L31" s="1039"/>
      <c r="M31" s="678">
        <v>2</v>
      </c>
      <c r="N31" s="453" t="s">
        <v>407</v>
      </c>
      <c r="O31" s="690"/>
      <c r="P31" s="784" t="s">
        <v>71</v>
      </c>
      <c r="Q31" s="781"/>
      <c r="R31" s="680"/>
      <c r="S31" s="680"/>
      <c r="T31" s="680"/>
      <c r="U31" s="680"/>
      <c r="V31" s="680"/>
      <c r="W31" s="680"/>
      <c r="X31" s="680"/>
      <c r="Y31" s="680"/>
      <c r="Z31" s="680"/>
    </row>
    <row r="32" spans="1:26">
      <c r="A32" s="666"/>
      <c r="B32" s="679" t="s">
        <v>410</v>
      </c>
      <c r="C32" s="1066" t="s">
        <v>1329</v>
      </c>
      <c r="D32" s="1066"/>
      <c r="E32" s="1066"/>
      <c r="F32" s="1066"/>
      <c r="G32" s="1066"/>
      <c r="H32" s="1066"/>
      <c r="I32" s="1066"/>
      <c r="J32" s="1066"/>
      <c r="K32" s="1066"/>
      <c r="L32" s="1066"/>
      <c r="M32" s="670"/>
      <c r="N32" s="670"/>
      <c r="O32" s="690"/>
      <c r="P32" s="506" t="s">
        <v>410</v>
      </c>
      <c r="Q32" s="1056" t="s">
        <v>1329</v>
      </c>
      <c r="R32" s="1056"/>
      <c r="S32" s="1056"/>
      <c r="T32" s="1056"/>
      <c r="U32" s="1056"/>
      <c r="V32" s="1056"/>
      <c r="W32" s="1056"/>
      <c r="X32" s="1056"/>
      <c r="Y32" s="1056"/>
      <c r="Z32" s="1056"/>
    </row>
    <row r="33" spans="1:27">
      <c r="A33" s="666"/>
      <c r="B33" s="679" t="s">
        <v>410</v>
      </c>
      <c r="C33" s="1057" t="s">
        <v>1330</v>
      </c>
      <c r="D33" s="1057"/>
      <c r="E33" s="1057"/>
      <c r="F33" s="1057"/>
      <c r="G33" s="1057"/>
      <c r="H33" s="1057"/>
      <c r="I33" s="1057"/>
      <c r="J33" s="1057"/>
      <c r="K33" s="1057"/>
      <c r="L33" s="1057"/>
      <c r="M33" s="670"/>
      <c r="N33" s="670"/>
      <c r="O33" s="690"/>
      <c r="P33" s="506" t="s">
        <v>410</v>
      </c>
      <c r="Q33" s="1057" t="s">
        <v>1330</v>
      </c>
      <c r="R33" s="1057"/>
      <c r="S33" s="1057"/>
      <c r="T33" s="1057"/>
      <c r="U33" s="1057"/>
      <c r="V33" s="1057"/>
      <c r="W33" s="1057"/>
      <c r="X33" s="1057"/>
      <c r="Y33" s="1057"/>
      <c r="Z33" s="1057"/>
    </row>
    <row r="34" spans="1:27">
      <c r="A34" s="666"/>
      <c r="B34" s="679" t="s">
        <v>410</v>
      </c>
      <c r="C34" s="1057" t="s">
        <v>1331</v>
      </c>
      <c r="D34" s="1057"/>
      <c r="E34" s="1057"/>
      <c r="F34" s="1057"/>
      <c r="G34" s="1057"/>
      <c r="H34" s="1057"/>
      <c r="I34" s="1057"/>
      <c r="J34" s="1057"/>
      <c r="K34" s="1057"/>
      <c r="L34" s="1057"/>
      <c r="M34" s="666"/>
      <c r="N34" s="616"/>
      <c r="O34" s="690"/>
      <c r="P34" s="506" t="s">
        <v>410</v>
      </c>
      <c r="Q34" s="1057" t="s">
        <v>1331</v>
      </c>
      <c r="R34" s="1057"/>
      <c r="S34" s="1057"/>
      <c r="T34" s="1057"/>
      <c r="U34" s="1057"/>
      <c r="V34" s="1057"/>
      <c r="W34" s="1057"/>
      <c r="X34" s="1057"/>
      <c r="Y34" s="1057"/>
      <c r="Z34" s="1057"/>
    </row>
    <row r="35" spans="1:27">
      <c r="A35" s="666"/>
      <c r="B35" s="679" t="s">
        <v>411</v>
      </c>
      <c r="C35" s="1054" t="s">
        <v>1332</v>
      </c>
      <c r="D35" s="1054"/>
      <c r="E35" s="1054"/>
      <c r="F35" s="1054"/>
      <c r="G35" s="1054"/>
      <c r="H35" s="1054"/>
      <c r="I35" s="1054"/>
      <c r="J35" s="1054"/>
      <c r="K35" s="1054"/>
      <c r="L35" s="1054"/>
      <c r="M35" s="666"/>
      <c r="N35" s="616"/>
      <c r="O35" s="690"/>
      <c r="P35" s="506" t="s">
        <v>411</v>
      </c>
      <c r="Q35" s="1054" t="s">
        <v>1332</v>
      </c>
      <c r="R35" s="1054"/>
      <c r="S35" s="1054"/>
      <c r="T35" s="1054"/>
      <c r="U35" s="1054"/>
      <c r="V35" s="1054"/>
      <c r="W35" s="1054"/>
      <c r="X35" s="1054"/>
      <c r="Y35" s="1054"/>
      <c r="Z35" s="1054"/>
    </row>
    <row r="36" spans="1:27">
      <c r="A36" s="666"/>
      <c r="B36" s="679" t="s">
        <v>411</v>
      </c>
      <c r="C36" s="1054" t="s">
        <v>1333</v>
      </c>
      <c r="D36" s="1054"/>
      <c r="E36" s="1054"/>
      <c r="F36" s="1054"/>
      <c r="G36" s="1054"/>
      <c r="H36" s="1054"/>
      <c r="I36" s="1054"/>
      <c r="J36" s="1054"/>
      <c r="K36" s="1054"/>
      <c r="L36" s="1054"/>
      <c r="M36" s="666"/>
      <c r="N36" s="616"/>
      <c r="O36" s="690"/>
      <c r="P36" s="506" t="s">
        <v>411</v>
      </c>
      <c r="Q36" s="1054" t="s">
        <v>1333</v>
      </c>
      <c r="R36" s="1054"/>
      <c r="S36" s="1054"/>
      <c r="T36" s="1054"/>
      <c r="U36" s="1054"/>
      <c r="V36" s="1054"/>
      <c r="W36" s="1054"/>
      <c r="X36" s="1054"/>
      <c r="Y36" s="1054"/>
      <c r="Z36" s="1054"/>
    </row>
    <row r="37" spans="1:27">
      <c r="A37" s="666"/>
      <c r="B37" s="679" t="s">
        <v>411</v>
      </c>
      <c r="C37" s="1054" t="s">
        <v>1334</v>
      </c>
      <c r="D37" s="1054"/>
      <c r="E37" s="1054"/>
      <c r="F37" s="1054"/>
      <c r="G37" s="1054"/>
      <c r="H37" s="1054"/>
      <c r="I37" s="1054"/>
      <c r="J37" s="1054"/>
      <c r="K37" s="1054"/>
      <c r="L37" s="1054"/>
      <c r="M37" s="666"/>
      <c r="N37" s="616"/>
      <c r="O37" s="690"/>
      <c r="P37" s="506" t="s">
        <v>411</v>
      </c>
      <c r="Q37" s="1054" t="s">
        <v>1334</v>
      </c>
      <c r="R37" s="1054"/>
      <c r="S37" s="1054"/>
      <c r="T37" s="1054"/>
      <c r="U37" s="1054"/>
      <c r="V37" s="1054"/>
      <c r="W37" s="1054"/>
      <c r="X37" s="1054"/>
      <c r="Y37" s="1054"/>
      <c r="Z37" s="1054"/>
    </row>
    <row r="38" spans="1:27">
      <c r="A38" s="666"/>
      <c r="B38" s="679" t="s">
        <v>411</v>
      </c>
      <c r="C38" s="1054" t="s">
        <v>1335</v>
      </c>
      <c r="D38" s="1054"/>
      <c r="E38" s="1054"/>
      <c r="F38" s="1054"/>
      <c r="G38" s="1054"/>
      <c r="H38" s="1054"/>
      <c r="I38" s="1054"/>
      <c r="J38" s="1054"/>
      <c r="K38" s="1054"/>
      <c r="L38" s="1054"/>
      <c r="M38" s="666"/>
      <c r="N38" s="616"/>
      <c r="O38" s="690"/>
      <c r="P38" s="506" t="s">
        <v>411</v>
      </c>
      <c r="Q38" s="1054" t="s">
        <v>1335</v>
      </c>
      <c r="R38" s="1054"/>
      <c r="S38" s="1054"/>
      <c r="T38" s="1054"/>
      <c r="U38" s="1054"/>
      <c r="V38" s="1054"/>
      <c r="W38" s="1054"/>
      <c r="X38" s="1054"/>
      <c r="Y38" s="1054"/>
      <c r="Z38" s="1054"/>
    </row>
    <row r="39" spans="1:27">
      <c r="A39" s="666"/>
      <c r="B39" s="679" t="s">
        <v>130</v>
      </c>
      <c r="C39" s="1052" t="s">
        <v>1336</v>
      </c>
      <c r="D39" s="1052"/>
      <c r="E39" s="1052"/>
      <c r="F39" s="1052"/>
      <c r="G39" s="1052"/>
      <c r="H39" s="1052"/>
      <c r="I39" s="1052"/>
      <c r="J39" s="1052"/>
      <c r="K39" s="1052"/>
      <c r="L39" s="1052"/>
      <c r="M39" s="666"/>
      <c r="N39" s="616"/>
      <c r="O39" s="690"/>
      <c r="S39" s="666"/>
      <c r="T39" s="666"/>
      <c r="U39" s="666"/>
      <c r="V39" s="666"/>
      <c r="W39" s="666"/>
    </row>
    <row r="40" spans="1:27">
      <c r="O40" s="690"/>
      <c r="S40" s="666"/>
      <c r="T40" s="666"/>
      <c r="U40" s="666"/>
      <c r="V40" s="666"/>
      <c r="W40" s="666"/>
    </row>
    <row r="41" spans="1:27" ht="16">
      <c r="O41" s="690"/>
      <c r="P41" s="448" t="s">
        <v>186</v>
      </c>
      <c r="S41" s="666"/>
      <c r="T41" s="666"/>
      <c r="U41" s="666"/>
      <c r="V41" s="666"/>
      <c r="W41" s="666"/>
    </row>
    <row r="42" spans="1:27">
      <c r="O42" s="690"/>
      <c r="P42" s="791" t="s">
        <v>1339</v>
      </c>
      <c r="S42" s="666"/>
      <c r="T42" s="666"/>
      <c r="U42" s="666"/>
      <c r="V42" s="666"/>
      <c r="W42" s="666"/>
    </row>
    <row r="43" spans="1:27">
      <c r="O43" s="690"/>
      <c r="P43" s="789" t="s">
        <v>1337</v>
      </c>
      <c r="Q43" s="790"/>
      <c r="R43" s="790"/>
      <c r="S43" s="790"/>
      <c r="T43" s="790"/>
      <c r="U43" s="790"/>
      <c r="V43" s="790"/>
      <c r="W43" s="790"/>
      <c r="X43" s="790"/>
      <c r="Y43" s="790"/>
    </row>
    <row r="44" spans="1:27" ht="68.25" customHeight="1">
      <c r="O44" s="690"/>
      <c r="P44" s="1061" t="s">
        <v>1340</v>
      </c>
      <c r="Q44" s="1062"/>
      <c r="R44" s="1062"/>
      <c r="S44" s="1062"/>
      <c r="T44" s="1062"/>
      <c r="U44" s="1062"/>
      <c r="V44" s="1062"/>
      <c r="W44" s="1062"/>
      <c r="X44" s="1062"/>
      <c r="Y44" s="1062"/>
      <c r="Z44" s="1062"/>
    </row>
    <row r="45" spans="1:27">
      <c r="O45" s="690"/>
      <c r="P45" s="792" t="s">
        <v>1341</v>
      </c>
      <c r="Q45" s="680"/>
      <c r="R45" s="666"/>
      <c r="S45" s="666"/>
      <c r="T45" s="666"/>
      <c r="U45" s="666"/>
      <c r="V45" s="666"/>
      <c r="W45" s="666"/>
    </row>
    <row r="46" spans="1:27">
      <c r="O46" s="690"/>
      <c r="P46" s="623" t="s">
        <v>1342</v>
      </c>
      <c r="Q46" s="680"/>
      <c r="R46" s="666"/>
      <c r="S46" s="666"/>
      <c r="T46" s="666"/>
      <c r="U46" s="666"/>
      <c r="V46" s="666"/>
      <c r="W46" s="666"/>
    </row>
    <row r="47" spans="1:27">
      <c r="O47" s="690"/>
      <c r="P47" s="792" t="s">
        <v>1343</v>
      </c>
      <c r="Q47" s="680"/>
      <c r="R47" s="666"/>
      <c r="S47" s="666"/>
      <c r="T47" s="666"/>
      <c r="U47" s="666"/>
      <c r="V47" s="666"/>
      <c r="W47" s="666"/>
    </row>
    <row r="48" spans="1:27" ht="69" customHeight="1">
      <c r="O48" s="690"/>
      <c r="P48" s="1063" t="s">
        <v>1338</v>
      </c>
      <c r="Q48" s="1064"/>
      <c r="R48" s="1064"/>
      <c r="S48" s="1064"/>
      <c r="T48" s="1064"/>
      <c r="U48" s="1064"/>
      <c r="V48" s="1064"/>
      <c r="W48" s="1064"/>
      <c r="X48" s="1064"/>
      <c r="Y48" s="1064"/>
      <c r="Z48" s="1064"/>
      <c r="AA48" s="1064"/>
    </row>
    <row r="49" spans="15:25">
      <c r="O49" s="690"/>
      <c r="U49" s="666"/>
      <c r="V49" s="666"/>
      <c r="W49" s="666"/>
    </row>
    <row r="50" spans="15:25">
      <c r="O50" s="690"/>
      <c r="P50" s="497" t="s">
        <v>535</v>
      </c>
      <c r="U50" s="666"/>
      <c r="V50" s="666"/>
      <c r="W50" s="666"/>
    </row>
    <row r="51" spans="15:25">
      <c r="O51" s="690"/>
      <c r="P51" s="1051" t="s">
        <v>1345</v>
      </c>
      <c r="Q51" s="1051"/>
      <c r="R51" s="1051"/>
      <c r="S51" s="1051"/>
      <c r="T51" s="1051"/>
      <c r="U51" s="1051"/>
      <c r="V51" s="1051"/>
      <c r="W51" s="1051"/>
      <c r="X51" s="1051"/>
      <c r="Y51" s="1051"/>
    </row>
    <row r="52" spans="15:25">
      <c r="O52" s="690"/>
      <c r="P52" s="1052" t="s">
        <v>1344</v>
      </c>
      <c r="Q52" s="1052"/>
      <c r="R52" s="1052"/>
      <c r="S52" s="1052"/>
      <c r="T52" s="1052"/>
      <c r="U52" s="1052"/>
      <c r="V52" s="1052"/>
      <c r="W52" s="1052"/>
      <c r="X52" s="1052"/>
      <c r="Y52" s="1052"/>
    </row>
    <row r="53" spans="15:25">
      <c r="O53" s="690"/>
      <c r="P53" s="1052" t="s">
        <v>1336</v>
      </c>
      <c r="Q53" s="1052"/>
      <c r="R53" s="1052"/>
      <c r="S53" s="1052"/>
      <c r="T53" s="1052"/>
      <c r="U53" s="1052"/>
      <c r="V53" s="1052"/>
      <c r="W53" s="1052"/>
      <c r="X53" s="1052"/>
      <c r="Y53" s="1052"/>
    </row>
    <row r="54" spans="15:25">
      <c r="U54" s="666"/>
      <c r="V54" s="666"/>
      <c r="W54" s="666"/>
    </row>
    <row r="55" spans="15:25">
      <c r="U55" s="666"/>
      <c r="V55" s="666"/>
      <c r="W55" s="666"/>
    </row>
  </sheetData>
  <mergeCells count="48">
    <mergeCell ref="P44:Z44"/>
    <mergeCell ref="P48:AA48"/>
    <mergeCell ref="C10:L10"/>
    <mergeCell ref="C11:L11"/>
    <mergeCell ref="C13:L13"/>
    <mergeCell ref="C19:L19"/>
    <mergeCell ref="C20:L20"/>
    <mergeCell ref="C37:L37"/>
    <mergeCell ref="C14:L14"/>
    <mergeCell ref="C15:K15"/>
    <mergeCell ref="C16:L16"/>
    <mergeCell ref="C31:L31"/>
    <mergeCell ref="C32:L32"/>
    <mergeCell ref="C21:L21"/>
    <mergeCell ref="C23:L23"/>
    <mergeCell ref="C24:L24"/>
    <mergeCell ref="C36:L36"/>
    <mergeCell ref="Q20:Z20"/>
    <mergeCell ref="Q21:Z21"/>
    <mergeCell ref="Q22:Z22"/>
    <mergeCell ref="Q24:Z24"/>
    <mergeCell ref="Q25:Z25"/>
    <mergeCell ref="C25:L25"/>
    <mergeCell ref="Q28:Z28"/>
    <mergeCell ref="C33:L33"/>
    <mergeCell ref="C34:L34"/>
    <mergeCell ref="C35:L35"/>
    <mergeCell ref="P9:W9"/>
    <mergeCell ref="Q13:Z13"/>
    <mergeCell ref="Q15:Z15"/>
    <mergeCell ref="Q16:Z16"/>
    <mergeCell ref="Q17:Y17"/>
    <mergeCell ref="P51:Y51"/>
    <mergeCell ref="P52:Y52"/>
    <mergeCell ref="P53:Y53"/>
    <mergeCell ref="C26:L26"/>
    <mergeCell ref="Q35:Z35"/>
    <mergeCell ref="Q36:Z36"/>
    <mergeCell ref="Q37:Z37"/>
    <mergeCell ref="Q38:Z38"/>
    <mergeCell ref="Q29:Z29"/>
    <mergeCell ref="Q32:Z32"/>
    <mergeCell ref="Q33:Z33"/>
    <mergeCell ref="Q34:Z34"/>
    <mergeCell ref="C38:L38"/>
    <mergeCell ref="C39:L39"/>
    <mergeCell ref="Q26:Z26"/>
    <mergeCell ref="Q27:X27"/>
  </mergeCells>
  <dataValidations count="2">
    <dataValidation type="list" allowBlank="1" showInputMessage="1" showErrorMessage="1" sqref="N18 N10 N31" xr:uid="{00000000-0002-0000-0700-000000000000}">
      <formula1>choix</formula1>
    </dataValidation>
    <dataValidation type="list" allowBlank="1" showInputMessage="1" showErrorMessage="1" sqref="B32:B38 B19:B28 B11:B15 P13:P17 P20:P29 P32:P38" xr:uid="{00000000-0002-0000-0700-000001000000}">
      <formula1>Choix_capacité</formula1>
    </dataValidation>
  </dataValidations>
  <pageMargins left="0.7" right="0.7" top="0.75" bottom="0.75" header="0.3" footer="0.3"/>
  <pageSetup paperSize="9" scale="25"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4"/>
    <pageSetUpPr fitToPage="1"/>
  </sheetPr>
  <dimension ref="A2:AD65"/>
  <sheetViews>
    <sheetView topLeftCell="D22" zoomScale="80" zoomScaleNormal="80" workbookViewId="0">
      <selection activeCell="R3" sqref="R3:AD61"/>
    </sheetView>
  </sheetViews>
  <sheetFormatPr baseColWidth="10" defaultRowHeight="15"/>
  <cols>
    <col min="2" max="2" width="13.6640625" customWidth="1"/>
    <col min="3" max="3" width="17.6640625" customWidth="1"/>
    <col min="14" max="14" width="4.1640625" customWidth="1"/>
    <col min="15" max="16" width="13.5" bestFit="1" customWidth="1"/>
    <col min="19" max="19" width="16.83203125" customWidth="1"/>
  </cols>
  <sheetData>
    <row r="2" spans="1:30" ht="16" thickBot="1"/>
    <row r="3" spans="1:30" ht="20" thickBot="1">
      <c r="R3" s="272" t="s">
        <v>102</v>
      </c>
      <c r="S3" s="228" t="s">
        <v>126</v>
      </c>
      <c r="T3" s="229" t="s">
        <v>13</v>
      </c>
      <c r="U3" s="671" t="s">
        <v>132</v>
      </c>
      <c r="V3" s="983"/>
    </row>
    <row r="4" spans="1:30" ht="19">
      <c r="B4" s="272" t="s">
        <v>102</v>
      </c>
      <c r="C4" s="228" t="s">
        <v>126</v>
      </c>
      <c r="D4" s="229" t="s">
        <v>13</v>
      </c>
      <c r="E4" s="227" t="s">
        <v>132</v>
      </c>
      <c r="G4" s="260"/>
      <c r="R4" s="983"/>
      <c r="S4" s="230" t="s">
        <v>55</v>
      </c>
      <c r="T4" s="231">
        <v>5</v>
      </c>
      <c r="U4" s="983"/>
      <c r="V4" s="983"/>
    </row>
    <row r="5" spans="1:30" ht="16" thickBot="1">
      <c r="C5" s="230" t="s">
        <v>55</v>
      </c>
      <c r="D5" s="231">
        <v>5</v>
      </c>
      <c r="R5" s="983"/>
      <c r="S5" s="232" t="s">
        <v>62</v>
      </c>
      <c r="T5" s="986">
        <v>72</v>
      </c>
      <c r="U5" s="983"/>
      <c r="V5" s="983"/>
    </row>
    <row r="6" spans="1:30" ht="16" thickBot="1">
      <c r="C6" s="232" t="s">
        <v>62</v>
      </c>
      <c r="D6" s="223">
        <v>72</v>
      </c>
    </row>
    <row r="7" spans="1:30" ht="17" thickBot="1">
      <c r="Q7" s="292"/>
      <c r="R7" s="1041" t="s">
        <v>567</v>
      </c>
      <c r="S7" s="1042"/>
      <c r="T7" s="1042"/>
      <c r="U7" s="1042"/>
      <c r="V7" s="1042"/>
      <c r="W7" s="1042"/>
      <c r="X7" s="1042"/>
      <c r="Y7" s="1042"/>
      <c r="Z7" s="467"/>
      <c r="AA7" s="467"/>
      <c r="AB7" s="467"/>
      <c r="AC7" s="467"/>
      <c r="AD7" s="467"/>
    </row>
    <row r="8" spans="1:30" ht="49" thickBot="1">
      <c r="O8" s="320" t="s">
        <v>125</v>
      </c>
      <c r="P8" s="320" t="s">
        <v>408</v>
      </c>
      <c r="Q8" s="292"/>
      <c r="R8" s="481"/>
      <c r="S8" s="469"/>
      <c r="T8" s="469"/>
      <c r="U8" s="467"/>
      <c r="V8" s="467"/>
      <c r="W8" s="467"/>
      <c r="X8" s="467"/>
      <c r="Y8" s="467"/>
      <c r="Z8" s="467"/>
      <c r="AA8" s="467"/>
      <c r="AB8" s="467"/>
      <c r="AC8" s="467"/>
      <c r="AD8" s="467"/>
    </row>
    <row r="9" spans="1:30">
      <c r="Q9" s="292"/>
      <c r="R9" s="498" t="s">
        <v>529</v>
      </c>
      <c r="S9" s="469"/>
      <c r="T9" s="469"/>
      <c r="U9" s="467"/>
      <c r="V9" s="467"/>
      <c r="W9" s="467"/>
      <c r="X9" s="467"/>
      <c r="Y9" s="467"/>
      <c r="Z9" s="467"/>
      <c r="AA9" s="467"/>
      <c r="AB9" s="467"/>
      <c r="AC9" s="467"/>
      <c r="AD9" s="467"/>
    </row>
    <row r="10" spans="1:30" ht="16" thickBot="1">
      <c r="Q10" s="292"/>
      <c r="R10" s="512" t="s">
        <v>64</v>
      </c>
      <c r="S10" s="469"/>
      <c r="T10" s="469"/>
      <c r="U10" s="467"/>
      <c r="V10" s="467"/>
      <c r="W10" s="467"/>
      <c r="X10" s="467"/>
      <c r="Y10" s="467"/>
      <c r="Z10" s="467"/>
      <c r="AA10" s="467"/>
      <c r="AB10" s="467"/>
      <c r="AC10" s="467"/>
      <c r="AD10" s="467"/>
    </row>
    <row r="11" spans="1:30" ht="17" thickBot="1">
      <c r="A11" s="323" t="s">
        <v>127</v>
      </c>
      <c r="B11" s="234"/>
      <c r="C11" s="1038" t="s">
        <v>64</v>
      </c>
      <c r="D11" s="1039"/>
      <c r="E11" s="1039"/>
      <c r="F11" s="1039"/>
      <c r="G11" s="1039"/>
      <c r="H11" s="1039"/>
      <c r="I11" s="1039"/>
      <c r="J11" s="1039"/>
      <c r="K11" s="1039"/>
      <c r="L11" s="1039"/>
      <c r="M11" s="1039"/>
      <c r="N11" s="1040"/>
      <c r="O11" s="241">
        <v>2</v>
      </c>
      <c r="P11" s="321" t="s">
        <v>407</v>
      </c>
      <c r="Q11" s="292"/>
      <c r="R11" s="479" t="s">
        <v>410</v>
      </c>
      <c r="S11" s="467" t="s">
        <v>822</v>
      </c>
      <c r="T11" s="467"/>
      <c r="U11" s="467"/>
      <c r="V11" s="467"/>
      <c r="W11" s="467"/>
      <c r="X11" s="467"/>
      <c r="Y11" s="467"/>
      <c r="Z11" s="467"/>
      <c r="AA11" s="467"/>
      <c r="AB11" s="467"/>
      <c r="AC11" s="467"/>
      <c r="AD11" s="467"/>
    </row>
    <row r="12" spans="1:30">
      <c r="B12" s="242" t="s">
        <v>410</v>
      </c>
      <c r="C12" s="715" t="s">
        <v>822</v>
      </c>
      <c r="O12" s="225"/>
      <c r="Q12" s="292"/>
      <c r="R12" s="479" t="s">
        <v>411</v>
      </c>
      <c r="S12" s="467" t="s">
        <v>842</v>
      </c>
      <c r="T12" s="467"/>
      <c r="U12" s="467"/>
      <c r="V12" s="467"/>
      <c r="W12" s="467"/>
      <c r="X12" s="467"/>
      <c r="Y12" s="467"/>
      <c r="Z12" s="467"/>
      <c r="AA12" s="467"/>
      <c r="AB12" s="467"/>
      <c r="AC12" s="467"/>
      <c r="AD12" s="467"/>
    </row>
    <row r="13" spans="1:30">
      <c r="B13" s="242" t="s">
        <v>411</v>
      </c>
      <c r="C13" s="465" t="s">
        <v>823</v>
      </c>
      <c r="O13" s="225"/>
      <c r="Q13" s="292"/>
      <c r="R13" s="479" t="s">
        <v>411</v>
      </c>
      <c r="S13" s="467" t="s">
        <v>824</v>
      </c>
      <c r="T13" s="467"/>
      <c r="U13" s="467"/>
      <c r="V13" s="467"/>
      <c r="W13" s="467"/>
      <c r="X13" s="467"/>
      <c r="Y13" s="467"/>
      <c r="Z13" s="467"/>
      <c r="AA13" s="467"/>
      <c r="AB13" s="467"/>
      <c r="AC13" s="467"/>
      <c r="AD13" s="467"/>
    </row>
    <row r="14" spans="1:30">
      <c r="B14" s="242" t="s">
        <v>411</v>
      </c>
      <c r="C14" s="465" t="s">
        <v>824</v>
      </c>
      <c r="Q14" s="292"/>
      <c r="R14" s="505"/>
      <c r="S14" s="467"/>
      <c r="T14" s="469"/>
      <c r="U14" s="467"/>
      <c r="V14" s="467"/>
      <c r="W14" s="467"/>
      <c r="X14" s="467"/>
      <c r="Y14" s="467"/>
      <c r="Z14" s="467"/>
      <c r="AA14" s="467"/>
      <c r="AB14" s="467"/>
      <c r="AC14" s="467"/>
      <c r="AD14" s="467"/>
    </row>
    <row r="15" spans="1:30">
      <c r="B15" s="242" t="s">
        <v>130</v>
      </c>
      <c r="C15" s="466" t="s">
        <v>825</v>
      </c>
      <c r="Q15" s="292"/>
      <c r="R15" s="512" t="s">
        <v>478</v>
      </c>
      <c r="S15" s="467"/>
      <c r="T15" s="469"/>
      <c r="U15" s="467"/>
      <c r="V15" s="467"/>
      <c r="W15" s="467"/>
      <c r="X15" s="467"/>
      <c r="Y15" s="467"/>
      <c r="Z15" s="467"/>
      <c r="AA15" s="467"/>
      <c r="AB15" s="467"/>
      <c r="AC15" s="467"/>
      <c r="AD15" s="467"/>
    </row>
    <row r="16" spans="1:30" ht="16" thickBot="1">
      <c r="Q16" s="292"/>
      <c r="R16" s="479" t="s">
        <v>410</v>
      </c>
      <c r="S16" s="467" t="s">
        <v>826</v>
      </c>
      <c r="T16" s="467"/>
      <c r="U16" s="467"/>
      <c r="V16" s="467"/>
      <c r="W16" s="467"/>
      <c r="X16" s="467"/>
      <c r="Y16" s="467"/>
      <c r="Z16" s="467"/>
      <c r="AA16" s="467"/>
      <c r="AB16" s="467"/>
      <c r="AC16" s="467"/>
      <c r="AD16" s="467"/>
    </row>
    <row r="17" spans="1:30" ht="17" thickBot="1">
      <c r="A17" s="323" t="s">
        <v>128</v>
      </c>
      <c r="B17" s="234"/>
      <c r="C17" s="1038" t="s">
        <v>478</v>
      </c>
      <c r="D17" s="1039"/>
      <c r="E17" s="1039"/>
      <c r="F17" s="1039"/>
      <c r="G17" s="1039"/>
      <c r="H17" s="1039"/>
      <c r="I17" s="1039"/>
      <c r="J17" s="1039"/>
      <c r="K17" s="1039"/>
      <c r="L17" s="1039"/>
      <c r="M17" s="1039"/>
      <c r="N17" s="1040"/>
      <c r="O17" s="241">
        <v>2</v>
      </c>
      <c r="P17" s="321" t="s">
        <v>407</v>
      </c>
      <c r="Q17" s="292"/>
      <c r="R17" s="479" t="s">
        <v>410</v>
      </c>
      <c r="S17" s="467" t="s">
        <v>827</v>
      </c>
      <c r="T17" s="467"/>
      <c r="U17" s="467"/>
      <c r="V17" s="467"/>
      <c r="W17" s="467"/>
      <c r="X17" s="467"/>
      <c r="Y17" s="467"/>
      <c r="Z17" s="467"/>
      <c r="AA17" s="467"/>
      <c r="AB17" s="467"/>
      <c r="AC17" s="467"/>
      <c r="AD17" s="467"/>
    </row>
    <row r="18" spans="1:30">
      <c r="B18" s="479" t="s">
        <v>410</v>
      </c>
      <c r="C18" s="715" t="s">
        <v>826</v>
      </c>
      <c r="O18" s="225"/>
      <c r="Q18" s="292"/>
      <c r="R18" s="479" t="s">
        <v>410</v>
      </c>
      <c r="S18" s="467" t="s">
        <v>828</v>
      </c>
      <c r="T18" s="467"/>
      <c r="U18" s="467"/>
      <c r="V18" s="467"/>
      <c r="W18" s="467"/>
      <c r="X18" s="467"/>
      <c r="Y18" s="467"/>
      <c r="Z18" s="467"/>
      <c r="AA18" s="467"/>
      <c r="AB18" s="467"/>
      <c r="AC18" s="467"/>
      <c r="AD18" s="467"/>
    </row>
    <row r="19" spans="1:30">
      <c r="B19" s="479" t="s">
        <v>410</v>
      </c>
      <c r="C19" s="715" t="s">
        <v>827</v>
      </c>
      <c r="O19" s="225"/>
      <c r="Q19" s="292"/>
      <c r="R19" s="479" t="s">
        <v>410</v>
      </c>
      <c r="S19" s="467" t="s">
        <v>829</v>
      </c>
      <c r="T19" s="467"/>
      <c r="U19" s="467"/>
      <c r="V19" s="467"/>
      <c r="W19" s="467"/>
      <c r="X19" s="467"/>
      <c r="Y19" s="467"/>
      <c r="Z19" s="467"/>
      <c r="AA19" s="467"/>
      <c r="AB19" s="467"/>
      <c r="AC19" s="467"/>
      <c r="AD19" s="467"/>
    </row>
    <row r="20" spans="1:30">
      <c r="B20" s="479" t="s">
        <v>410</v>
      </c>
      <c r="C20" s="715" t="s">
        <v>828</v>
      </c>
      <c r="Q20" s="292"/>
      <c r="R20" s="479" t="s">
        <v>410</v>
      </c>
      <c r="S20" s="467" t="s">
        <v>830</v>
      </c>
      <c r="T20" s="467"/>
      <c r="U20" s="467"/>
      <c r="V20" s="467"/>
      <c r="W20" s="467"/>
      <c r="X20" s="467"/>
      <c r="Y20" s="467"/>
      <c r="Z20" s="467"/>
      <c r="AA20" s="467"/>
      <c r="AB20" s="467"/>
      <c r="AC20" s="467"/>
      <c r="AD20" s="467"/>
    </row>
    <row r="21" spans="1:30">
      <c r="B21" s="479" t="s">
        <v>410</v>
      </c>
      <c r="C21" s="715" t="s">
        <v>829</v>
      </c>
      <c r="Q21" s="292"/>
      <c r="R21" s="479" t="s">
        <v>411</v>
      </c>
      <c r="S21" s="467" t="s">
        <v>831</v>
      </c>
      <c r="T21" s="467"/>
      <c r="U21" s="467"/>
      <c r="V21" s="467"/>
      <c r="W21" s="467"/>
      <c r="X21" s="467"/>
      <c r="Y21" s="467"/>
      <c r="Z21" s="467"/>
      <c r="AA21" s="467"/>
      <c r="AB21" s="467"/>
      <c r="AC21" s="467"/>
      <c r="AD21" s="467"/>
    </row>
    <row r="22" spans="1:30">
      <c r="B22" s="479" t="s">
        <v>410</v>
      </c>
      <c r="C22" s="715" t="s">
        <v>830</v>
      </c>
      <c r="Q22" s="292"/>
      <c r="R22" s="479" t="s">
        <v>411</v>
      </c>
      <c r="S22" s="467" t="s">
        <v>832</v>
      </c>
      <c r="T22" s="467"/>
      <c r="U22" s="467"/>
      <c r="V22" s="467"/>
      <c r="W22" s="467"/>
      <c r="X22" s="467"/>
      <c r="Y22" s="467"/>
      <c r="Z22" s="467"/>
      <c r="AA22" s="467"/>
      <c r="AB22" s="467"/>
      <c r="AC22" s="467"/>
      <c r="AD22" s="467"/>
    </row>
    <row r="23" spans="1:30">
      <c r="B23" s="479" t="s">
        <v>411</v>
      </c>
      <c r="C23" s="467" t="s">
        <v>831</v>
      </c>
      <c r="Q23" s="292"/>
      <c r="R23" s="479" t="s">
        <v>411</v>
      </c>
      <c r="S23" s="467" t="s">
        <v>833</v>
      </c>
      <c r="T23" s="467"/>
      <c r="U23" s="467"/>
      <c r="V23" s="467"/>
      <c r="W23" s="467"/>
      <c r="X23" s="467"/>
      <c r="Y23" s="467"/>
      <c r="Z23" s="467"/>
      <c r="AA23" s="467"/>
      <c r="AB23" s="467"/>
      <c r="AC23" s="467"/>
      <c r="AD23" s="467"/>
    </row>
    <row r="24" spans="1:30">
      <c r="B24" s="479" t="s">
        <v>411</v>
      </c>
      <c r="C24" s="467" t="s">
        <v>832</v>
      </c>
      <c r="Q24" s="292"/>
      <c r="R24" s="479" t="s">
        <v>411</v>
      </c>
      <c r="S24" s="467" t="s">
        <v>834</v>
      </c>
      <c r="T24" s="467"/>
      <c r="U24" s="467"/>
      <c r="V24" s="467"/>
      <c r="W24" s="467"/>
      <c r="X24" s="467"/>
      <c r="Y24" s="467"/>
      <c r="Z24" s="467"/>
      <c r="AA24" s="467"/>
      <c r="AB24" s="467"/>
      <c r="AC24" s="467"/>
      <c r="AD24" s="467"/>
    </row>
    <row r="25" spans="1:30">
      <c r="B25" s="479" t="s">
        <v>411</v>
      </c>
      <c r="C25" s="467" t="s">
        <v>833</v>
      </c>
      <c r="Q25" s="292"/>
      <c r="R25" s="501"/>
      <c r="S25" s="496"/>
      <c r="T25" s="467"/>
      <c r="U25" s="467"/>
      <c r="V25" s="467"/>
      <c r="W25" s="467"/>
      <c r="X25" s="467"/>
      <c r="Y25" s="467"/>
      <c r="Z25" s="467"/>
      <c r="AA25" s="467"/>
      <c r="AB25" s="467"/>
      <c r="AC25" s="467"/>
      <c r="AD25" s="467"/>
    </row>
    <row r="26" spans="1:30">
      <c r="B26" s="479" t="s">
        <v>411</v>
      </c>
      <c r="C26" s="467" t="s">
        <v>834</v>
      </c>
      <c r="Q26" s="292"/>
      <c r="R26" s="512" t="s">
        <v>836</v>
      </c>
      <c r="S26" s="494"/>
      <c r="T26" s="467"/>
      <c r="U26" s="467"/>
      <c r="V26" s="467"/>
      <c r="W26" s="467"/>
      <c r="X26" s="467"/>
      <c r="Y26" s="467"/>
      <c r="Z26" s="467"/>
      <c r="AA26" s="467"/>
      <c r="AB26" s="467"/>
      <c r="AC26" s="467"/>
      <c r="AD26" s="467"/>
    </row>
    <row r="27" spans="1:30">
      <c r="B27" s="479" t="s">
        <v>130</v>
      </c>
      <c r="C27" s="479" t="s">
        <v>835</v>
      </c>
      <c r="Q27" s="292"/>
      <c r="R27" s="479" t="s">
        <v>410</v>
      </c>
      <c r="S27" s="467" t="s">
        <v>837</v>
      </c>
      <c r="T27" s="467"/>
      <c r="U27" s="467"/>
      <c r="V27" s="467"/>
      <c r="W27" s="467"/>
      <c r="X27" s="467"/>
      <c r="Y27" s="467"/>
      <c r="Z27" s="467"/>
      <c r="AA27" s="467"/>
      <c r="AB27" s="467"/>
      <c r="AC27" s="467"/>
      <c r="AD27" s="467"/>
    </row>
    <row r="28" spans="1:30" ht="16" thickBot="1">
      <c r="Q28" s="292"/>
      <c r="R28" s="479" t="s">
        <v>410</v>
      </c>
      <c r="S28" s="467" t="s">
        <v>838</v>
      </c>
      <c r="T28" s="467"/>
      <c r="U28" s="467"/>
      <c r="V28" s="467"/>
      <c r="W28" s="467"/>
      <c r="X28" s="467"/>
      <c r="Y28" s="467"/>
      <c r="Z28" s="467"/>
      <c r="AA28" s="467"/>
      <c r="AB28" s="467"/>
      <c r="AC28" s="467"/>
      <c r="AD28" s="467"/>
    </row>
    <row r="29" spans="1:30" ht="17" thickBot="1">
      <c r="A29" s="493" t="s">
        <v>129</v>
      </c>
      <c r="B29" s="472"/>
      <c r="C29" s="473" t="s">
        <v>836</v>
      </c>
      <c r="D29" s="474"/>
      <c r="E29" s="474"/>
      <c r="F29" s="474"/>
      <c r="G29" s="474"/>
      <c r="H29" s="474"/>
      <c r="I29" s="474"/>
      <c r="J29" s="474"/>
      <c r="K29" s="474"/>
      <c r="L29" s="474"/>
      <c r="M29" s="474"/>
      <c r="N29" s="475"/>
      <c r="O29" s="478">
        <v>1</v>
      </c>
      <c r="P29" s="492" t="s">
        <v>407</v>
      </c>
      <c r="Q29" s="292"/>
      <c r="R29" s="479" t="s">
        <v>411</v>
      </c>
      <c r="S29" s="467" t="s">
        <v>839</v>
      </c>
      <c r="T29" s="467"/>
      <c r="U29" s="467"/>
      <c r="V29" s="467"/>
      <c r="W29" s="467"/>
      <c r="X29" s="467"/>
      <c r="Y29" s="467"/>
      <c r="Z29" s="467"/>
      <c r="AA29" s="467"/>
      <c r="AB29" s="467"/>
      <c r="AC29" s="467"/>
      <c r="AD29" s="467"/>
    </row>
    <row r="30" spans="1:30">
      <c r="A30" s="467"/>
      <c r="B30" s="479" t="s">
        <v>410</v>
      </c>
      <c r="C30" s="715" t="s">
        <v>837</v>
      </c>
      <c r="D30" s="467"/>
      <c r="E30" s="467"/>
      <c r="F30" s="467"/>
      <c r="G30" s="467"/>
      <c r="H30" s="467"/>
      <c r="I30" s="467"/>
      <c r="J30" s="467"/>
      <c r="K30" s="467"/>
      <c r="L30" s="467"/>
      <c r="M30" s="467"/>
      <c r="N30" s="467"/>
      <c r="O30" s="470"/>
      <c r="P30" s="467"/>
      <c r="Q30" s="292"/>
      <c r="R30" s="479" t="s">
        <v>411</v>
      </c>
      <c r="S30" s="467" t="s">
        <v>840</v>
      </c>
      <c r="T30" s="467"/>
      <c r="U30" s="467"/>
      <c r="V30" s="467"/>
      <c r="W30" s="467"/>
      <c r="X30" s="467"/>
      <c r="Y30" s="467"/>
      <c r="Z30" s="467"/>
      <c r="AA30" s="467"/>
      <c r="AB30" s="467"/>
      <c r="AC30" s="467"/>
      <c r="AD30" s="467"/>
    </row>
    <row r="31" spans="1:30">
      <c r="A31" s="467"/>
      <c r="B31" s="479" t="s">
        <v>410</v>
      </c>
      <c r="C31" s="715" t="s">
        <v>838</v>
      </c>
      <c r="D31" s="467"/>
      <c r="E31" s="467"/>
      <c r="F31" s="467"/>
      <c r="G31" s="467"/>
      <c r="H31" s="467"/>
      <c r="I31" s="467"/>
      <c r="J31" s="467"/>
      <c r="K31" s="467"/>
      <c r="L31" s="467"/>
      <c r="M31" s="467"/>
      <c r="N31" s="467"/>
      <c r="O31" s="470"/>
      <c r="P31" s="467"/>
      <c r="Q31" s="292"/>
      <c r="R31" s="505"/>
      <c r="S31" s="494"/>
      <c r="T31" s="467"/>
      <c r="U31" s="467"/>
      <c r="V31" s="467"/>
      <c r="W31" s="467"/>
      <c r="X31" s="467"/>
      <c r="Y31" s="467"/>
      <c r="Z31" s="467"/>
      <c r="AA31" s="467"/>
      <c r="AB31" s="467"/>
      <c r="AC31" s="467"/>
      <c r="AD31" s="467"/>
    </row>
    <row r="32" spans="1:30">
      <c r="A32" s="467"/>
      <c r="B32" s="479" t="s">
        <v>411</v>
      </c>
      <c r="C32" s="467" t="s">
        <v>839</v>
      </c>
      <c r="D32" s="467"/>
      <c r="E32" s="467"/>
      <c r="F32" s="467"/>
      <c r="G32" s="467"/>
      <c r="H32" s="467"/>
      <c r="I32" s="467"/>
      <c r="J32" s="467"/>
      <c r="K32" s="467"/>
      <c r="L32" s="467"/>
      <c r="M32" s="467"/>
      <c r="N32" s="467"/>
      <c r="O32" s="467"/>
      <c r="P32" s="467"/>
      <c r="Q32" s="292"/>
      <c r="R32" s="481"/>
      <c r="S32" s="467"/>
      <c r="T32" s="467"/>
      <c r="U32" s="467"/>
      <c r="V32" s="467"/>
      <c r="W32" s="467"/>
      <c r="X32" s="467"/>
      <c r="Y32" s="467"/>
      <c r="Z32" s="467"/>
      <c r="AA32" s="467"/>
      <c r="AB32" s="467"/>
      <c r="AC32" s="467"/>
      <c r="AD32" s="467"/>
    </row>
    <row r="33" spans="1:30">
      <c r="A33" s="467"/>
      <c r="B33" s="479" t="s">
        <v>411</v>
      </c>
      <c r="C33" s="467" t="s">
        <v>840</v>
      </c>
      <c r="D33" s="467"/>
      <c r="E33" s="467"/>
      <c r="F33" s="467"/>
      <c r="G33" s="467"/>
      <c r="H33" s="467"/>
      <c r="I33" s="467"/>
      <c r="J33" s="467"/>
      <c r="K33" s="467"/>
      <c r="L33" s="467"/>
      <c r="M33" s="467"/>
      <c r="N33" s="467"/>
      <c r="O33" s="467"/>
      <c r="P33" s="467"/>
      <c r="Q33" s="292"/>
      <c r="R33" s="499" t="s">
        <v>186</v>
      </c>
      <c r="S33" s="467"/>
      <c r="T33" s="467"/>
      <c r="U33" s="467"/>
      <c r="V33" s="467"/>
      <c r="W33" s="467"/>
      <c r="X33" s="467"/>
      <c r="Y33" s="467"/>
      <c r="Z33" s="467"/>
      <c r="AA33" s="467"/>
      <c r="AB33" s="467"/>
      <c r="AC33" s="467"/>
      <c r="AD33" s="467"/>
    </row>
    <row r="34" spans="1:30">
      <c r="A34" s="467"/>
      <c r="B34" s="479" t="s">
        <v>130</v>
      </c>
      <c r="C34" s="479" t="s">
        <v>841</v>
      </c>
      <c r="D34" s="467"/>
      <c r="E34" s="467"/>
      <c r="F34" s="467"/>
      <c r="G34" s="467"/>
      <c r="H34" s="467"/>
      <c r="I34" s="467"/>
      <c r="J34" s="467"/>
      <c r="K34" s="467"/>
      <c r="L34" s="467"/>
      <c r="M34" s="467"/>
      <c r="N34" s="467"/>
      <c r="O34" s="467"/>
      <c r="P34" s="467"/>
      <c r="Q34" s="292"/>
      <c r="R34" s="471" t="s">
        <v>843</v>
      </c>
      <c r="S34" s="467"/>
      <c r="T34" s="467"/>
      <c r="U34" s="467"/>
      <c r="V34" s="467"/>
      <c r="W34" s="467"/>
      <c r="X34" s="467"/>
      <c r="Y34" s="467"/>
      <c r="Z34" s="467"/>
      <c r="AA34" s="467"/>
      <c r="AB34" s="467"/>
      <c r="AC34" s="467"/>
      <c r="AD34" s="467"/>
    </row>
    <row r="35" spans="1:30">
      <c r="Q35" s="292"/>
      <c r="R35" s="510" t="s">
        <v>844</v>
      </c>
      <c r="S35" s="481"/>
      <c r="T35" s="467"/>
      <c r="U35" s="467"/>
      <c r="V35" s="467"/>
      <c r="W35" s="467"/>
      <c r="X35" s="467"/>
      <c r="Y35" s="467"/>
      <c r="Z35" s="467"/>
      <c r="AA35" s="467"/>
      <c r="AB35" s="467"/>
      <c r="AC35" s="467"/>
      <c r="AD35" s="467"/>
    </row>
    <row r="36" spans="1:30">
      <c r="Q36" s="292"/>
      <c r="R36" s="480"/>
      <c r="S36" s="482" t="s">
        <v>133</v>
      </c>
      <c r="T36" s="467"/>
      <c r="U36" s="467"/>
      <c r="V36" s="467"/>
      <c r="W36" s="467"/>
      <c r="X36" s="467"/>
      <c r="Y36" s="467"/>
      <c r="Z36" s="467"/>
      <c r="AA36" s="467"/>
      <c r="AB36" s="467"/>
      <c r="AC36" s="467"/>
      <c r="AD36" s="467"/>
    </row>
    <row r="37" spans="1:30">
      <c r="Q37" s="292"/>
      <c r="R37" s="480"/>
      <c r="S37" s="484" t="s">
        <v>845</v>
      </c>
      <c r="T37" s="467"/>
      <c r="U37" s="467"/>
      <c r="V37" s="467"/>
      <c r="W37" s="467"/>
      <c r="X37" s="467"/>
      <c r="Y37" s="467"/>
      <c r="Z37" s="467"/>
      <c r="AA37" s="467"/>
      <c r="AB37" s="467"/>
      <c r="AC37" s="467"/>
      <c r="AD37" s="467"/>
    </row>
    <row r="38" spans="1:30">
      <c r="Q38" s="292"/>
      <c r="R38" s="480"/>
      <c r="S38" s="482" t="s">
        <v>134</v>
      </c>
      <c r="T38" s="467"/>
      <c r="U38" s="467"/>
      <c r="V38" s="467"/>
      <c r="W38" s="467"/>
      <c r="X38" s="467"/>
      <c r="Y38" s="467"/>
      <c r="Z38" s="467"/>
      <c r="AA38" s="467"/>
      <c r="AB38" s="467"/>
      <c r="AC38" s="467"/>
      <c r="AD38" s="467"/>
    </row>
    <row r="39" spans="1:30">
      <c r="Q39" s="292"/>
      <c r="R39" s="480"/>
      <c r="S39" s="483" t="s">
        <v>135</v>
      </c>
      <c r="T39" s="467"/>
      <c r="U39" s="467"/>
      <c r="V39" s="467"/>
      <c r="W39" s="467"/>
      <c r="X39" s="467"/>
      <c r="Y39" s="467"/>
      <c r="Z39" s="467"/>
      <c r="AA39" s="467"/>
      <c r="AB39" s="467"/>
      <c r="AC39" s="467"/>
      <c r="AD39" s="467"/>
    </row>
    <row r="40" spans="1:30">
      <c r="Q40" s="292"/>
      <c r="R40" s="510" t="s">
        <v>846</v>
      </c>
      <c r="S40" s="481"/>
      <c r="T40" s="467"/>
      <c r="U40" s="467"/>
      <c r="V40" s="467"/>
      <c r="W40" s="467"/>
      <c r="X40" s="467"/>
      <c r="Y40" s="467"/>
      <c r="Z40" s="467"/>
      <c r="AA40" s="467"/>
      <c r="AB40" s="467"/>
      <c r="AC40" s="467"/>
      <c r="AD40" s="467"/>
    </row>
    <row r="41" spans="1:30">
      <c r="Q41" s="292"/>
      <c r="R41" s="480"/>
      <c r="S41" s="482" t="s">
        <v>847</v>
      </c>
      <c r="T41" s="467"/>
      <c r="U41" s="467"/>
      <c r="V41" s="467"/>
      <c r="W41" s="467"/>
      <c r="X41" s="467"/>
      <c r="Y41" s="467"/>
      <c r="Z41" s="467"/>
      <c r="AA41" s="467"/>
      <c r="AB41" s="467"/>
      <c r="AC41" s="467"/>
      <c r="AD41" s="467"/>
    </row>
    <row r="42" spans="1:30">
      <c r="Q42" s="292"/>
      <c r="R42" s="480"/>
      <c r="S42" s="484" t="s">
        <v>136</v>
      </c>
      <c r="T42" s="467"/>
      <c r="U42" s="467"/>
      <c r="V42" s="467"/>
      <c r="W42" s="467"/>
      <c r="X42" s="467"/>
      <c r="Y42" s="467"/>
      <c r="Z42" s="467"/>
      <c r="AA42" s="467"/>
      <c r="AB42" s="467"/>
      <c r="AC42" s="467"/>
      <c r="AD42" s="467"/>
    </row>
    <row r="43" spans="1:30">
      <c r="Q43" s="292"/>
      <c r="R43" s="480"/>
      <c r="S43" s="484" t="s">
        <v>848</v>
      </c>
      <c r="T43" s="467"/>
      <c r="U43" s="467"/>
      <c r="V43" s="467"/>
      <c r="W43" s="467"/>
      <c r="X43" s="467"/>
      <c r="Y43" s="467"/>
      <c r="Z43" s="467"/>
      <c r="AA43" s="467"/>
      <c r="AB43" s="467"/>
      <c r="AC43" s="467"/>
      <c r="AD43" s="467"/>
    </row>
    <row r="44" spans="1:30">
      <c r="Q44" s="292"/>
      <c r="R44" s="480"/>
      <c r="S44" s="484" t="s">
        <v>137</v>
      </c>
      <c r="T44" s="467"/>
      <c r="U44" s="467"/>
      <c r="V44" s="467"/>
      <c r="W44" s="467"/>
      <c r="X44" s="467"/>
      <c r="Y44" s="467"/>
      <c r="Z44" s="467"/>
      <c r="AA44" s="467"/>
      <c r="AB44" s="467"/>
      <c r="AC44" s="467"/>
      <c r="AD44" s="467"/>
    </row>
    <row r="45" spans="1:30">
      <c r="Q45" s="292"/>
      <c r="R45" s="480"/>
      <c r="S45" s="482" t="s">
        <v>138</v>
      </c>
      <c r="T45" s="467"/>
      <c r="U45" s="467"/>
      <c r="V45" s="467"/>
      <c r="W45" s="467"/>
      <c r="X45" s="467"/>
      <c r="Y45" s="467"/>
      <c r="Z45" s="467"/>
      <c r="AA45" s="467"/>
      <c r="AB45" s="467"/>
      <c r="AC45" s="467"/>
      <c r="AD45" s="467"/>
    </row>
    <row r="46" spans="1:30">
      <c r="Q46" s="292"/>
      <c r="R46" s="480"/>
      <c r="S46" s="484" t="s">
        <v>849</v>
      </c>
      <c r="T46" s="467"/>
      <c r="U46" s="467"/>
      <c r="V46" s="467"/>
      <c r="W46" s="467"/>
      <c r="X46" s="467"/>
      <c r="Y46" s="467"/>
      <c r="Z46" s="467"/>
      <c r="AA46" s="467"/>
      <c r="AB46" s="467"/>
      <c r="AC46" s="467"/>
      <c r="AD46" s="467"/>
    </row>
    <row r="47" spans="1:30">
      <c r="Q47" s="292"/>
      <c r="R47" s="480"/>
      <c r="S47" s="484" t="s">
        <v>850</v>
      </c>
      <c r="T47" s="467"/>
      <c r="U47" s="467"/>
      <c r="V47" s="467"/>
      <c r="W47" s="467"/>
      <c r="X47" s="467"/>
      <c r="Y47" s="467"/>
      <c r="Z47" s="467"/>
      <c r="AA47" s="467"/>
      <c r="AB47" s="467"/>
      <c r="AC47" s="467"/>
      <c r="AD47" s="467"/>
    </row>
    <row r="48" spans="1:30">
      <c r="Q48" s="292"/>
      <c r="R48" s="480"/>
      <c r="S48" s="513" t="s">
        <v>851</v>
      </c>
      <c r="T48" s="467"/>
      <c r="U48" s="467"/>
      <c r="V48" s="467"/>
      <c r="W48" s="467"/>
      <c r="X48" s="467"/>
      <c r="Y48" s="467"/>
      <c r="Z48" s="467"/>
      <c r="AA48" s="467"/>
      <c r="AB48" s="467"/>
      <c r="AC48" s="467"/>
      <c r="AD48" s="467"/>
    </row>
    <row r="49" spans="17:30">
      <c r="Q49" s="292"/>
      <c r="R49" s="480"/>
      <c r="S49" s="482" t="s">
        <v>852</v>
      </c>
      <c r="T49" s="467"/>
      <c r="U49" s="467"/>
      <c r="V49" s="467"/>
      <c r="W49" s="467"/>
      <c r="X49" s="467"/>
      <c r="Y49" s="467"/>
      <c r="Z49" s="467"/>
      <c r="AA49" s="467"/>
      <c r="AB49" s="467"/>
      <c r="AC49" s="467"/>
      <c r="AD49" s="467"/>
    </row>
    <row r="50" spans="17:30">
      <c r="Q50" s="292"/>
      <c r="R50" s="480"/>
      <c r="S50" s="485" t="s">
        <v>139</v>
      </c>
      <c r="T50" s="467"/>
      <c r="U50" s="467"/>
      <c r="V50" s="467"/>
      <c r="W50" s="467"/>
      <c r="X50" s="467"/>
      <c r="Y50" s="467"/>
      <c r="Z50" s="467"/>
      <c r="AA50" s="467"/>
      <c r="AB50" s="467"/>
      <c r="AC50" s="467"/>
      <c r="AD50" s="467"/>
    </row>
    <row r="51" spans="17:30">
      <c r="Q51" s="292"/>
      <c r="R51" s="467"/>
      <c r="S51" s="513" t="s">
        <v>853</v>
      </c>
      <c r="T51" s="467"/>
      <c r="U51" s="467"/>
      <c r="V51" s="467"/>
      <c r="W51" s="467"/>
      <c r="X51" s="467"/>
      <c r="Y51" s="467"/>
      <c r="Z51" s="467"/>
      <c r="AA51" s="467"/>
      <c r="AB51" s="467"/>
      <c r="AC51" s="467"/>
      <c r="AD51" s="467"/>
    </row>
    <row r="52" spans="17:30">
      <c r="Q52" s="292"/>
      <c r="R52" s="497" t="s">
        <v>854</v>
      </c>
      <c r="S52" s="467"/>
      <c r="T52" s="467"/>
      <c r="U52" s="467"/>
      <c r="V52" s="467"/>
      <c r="W52" s="467"/>
      <c r="X52" s="467"/>
      <c r="Y52" s="467"/>
      <c r="Z52" s="467"/>
      <c r="AA52" s="467"/>
      <c r="AB52" s="467"/>
      <c r="AC52" s="467"/>
      <c r="AD52" s="467"/>
    </row>
    <row r="53" spans="17:30">
      <c r="Q53" s="292"/>
      <c r="R53" s="480"/>
      <c r="S53" s="467" t="s">
        <v>855</v>
      </c>
      <c r="T53" s="467"/>
      <c r="U53" s="467"/>
      <c r="V53" s="467"/>
      <c r="W53" s="467"/>
      <c r="X53" s="467"/>
      <c r="Y53" s="467"/>
      <c r="Z53" s="467"/>
      <c r="AA53" s="467"/>
      <c r="AB53" s="467"/>
      <c r="AC53" s="467"/>
      <c r="AD53" s="467"/>
    </row>
    <row r="54" spans="17:30">
      <c r="Q54" s="292"/>
      <c r="R54" s="480"/>
      <c r="S54" s="467" t="s">
        <v>856</v>
      </c>
      <c r="T54" s="467"/>
      <c r="U54" s="467"/>
      <c r="V54" s="467"/>
      <c r="W54" s="467"/>
      <c r="X54" s="467"/>
      <c r="Y54" s="467"/>
      <c r="Z54" s="467"/>
      <c r="AA54" s="467"/>
      <c r="AB54" s="467"/>
      <c r="AC54" s="467"/>
      <c r="AD54" s="467"/>
    </row>
    <row r="55" spans="17:30">
      <c r="Q55" s="292"/>
      <c r="R55" s="481"/>
      <c r="S55" s="467" t="s">
        <v>857</v>
      </c>
      <c r="T55" s="467"/>
      <c r="U55" s="467"/>
      <c r="V55" s="467"/>
      <c r="W55" s="467"/>
      <c r="X55" s="467"/>
      <c r="Y55" s="467"/>
      <c r="Z55" s="467"/>
      <c r="AA55" s="467"/>
      <c r="AB55" s="467"/>
      <c r="AC55" s="467"/>
      <c r="AD55" s="467"/>
    </row>
    <row r="56" spans="17:30">
      <c r="Q56" s="292"/>
      <c r="R56" s="480"/>
      <c r="S56" s="481" t="s">
        <v>858</v>
      </c>
      <c r="T56" s="467"/>
      <c r="U56" s="467"/>
      <c r="V56" s="467"/>
      <c r="W56" s="467"/>
      <c r="X56" s="467"/>
      <c r="Y56" s="467"/>
      <c r="Z56" s="467"/>
      <c r="AA56" s="467"/>
      <c r="AB56" s="467"/>
      <c r="AC56" s="467"/>
      <c r="AD56" s="467"/>
    </row>
    <row r="57" spans="17:30">
      <c r="Q57" s="292"/>
      <c r="R57" s="467"/>
      <c r="S57" s="481" t="s">
        <v>859</v>
      </c>
      <c r="T57" s="467"/>
      <c r="U57" s="467"/>
      <c r="V57" s="467"/>
      <c r="W57" s="467"/>
      <c r="X57" s="467"/>
      <c r="Y57" s="467"/>
      <c r="Z57" s="467"/>
      <c r="AA57" s="467"/>
      <c r="AB57" s="467"/>
      <c r="AC57" s="467"/>
      <c r="AD57" s="467"/>
    </row>
    <row r="58" spans="17:30">
      <c r="Q58" s="292"/>
      <c r="R58" s="497" t="s">
        <v>535</v>
      </c>
      <c r="S58" s="467"/>
      <c r="T58" s="467"/>
      <c r="U58" s="467"/>
      <c r="V58" s="467"/>
      <c r="W58" s="467"/>
      <c r="X58" s="467"/>
      <c r="Y58" s="467"/>
      <c r="Z58" s="467"/>
      <c r="AA58" s="467"/>
      <c r="AB58" s="467"/>
      <c r="AC58" s="467"/>
      <c r="AD58" s="467"/>
    </row>
    <row r="59" spans="17:30">
      <c r="Q59" s="292"/>
      <c r="R59" s="479" t="s">
        <v>860</v>
      </c>
      <c r="S59" s="482"/>
      <c r="T59" s="467"/>
      <c r="U59" s="467"/>
      <c r="V59" s="467"/>
      <c r="W59" s="467"/>
      <c r="X59" s="467"/>
      <c r="Y59" s="467"/>
      <c r="Z59" s="467"/>
      <c r="AA59" s="467"/>
      <c r="AB59" s="467"/>
      <c r="AC59" s="467"/>
      <c r="AD59" s="467"/>
    </row>
    <row r="60" spans="17:30">
      <c r="Q60" s="292"/>
      <c r="R60" s="479" t="s">
        <v>861</v>
      </c>
      <c r="S60" s="482"/>
      <c r="T60" s="467"/>
      <c r="U60" s="467"/>
      <c r="V60" s="467"/>
      <c r="W60" s="467"/>
      <c r="X60" s="467"/>
      <c r="Y60" s="467"/>
      <c r="Z60" s="467"/>
      <c r="AA60" s="467"/>
      <c r="AB60" s="467"/>
      <c r="AC60" s="467"/>
      <c r="AD60" s="467"/>
    </row>
    <row r="61" spans="17:30">
      <c r="Q61" s="292"/>
      <c r="R61" s="479" t="s">
        <v>862</v>
      </c>
      <c r="S61" s="482"/>
      <c r="T61" s="467"/>
      <c r="U61" s="467"/>
      <c r="V61" s="467"/>
      <c r="W61" s="467"/>
      <c r="X61" s="467"/>
      <c r="Y61" s="467"/>
      <c r="Z61" s="467"/>
      <c r="AA61" s="467"/>
      <c r="AB61" s="467"/>
      <c r="AC61" s="467"/>
      <c r="AD61" s="467"/>
    </row>
    <row r="62" spans="17:30">
      <c r="R62" s="467"/>
      <c r="S62" s="467"/>
      <c r="T62" s="467"/>
      <c r="U62" s="467"/>
      <c r="V62" s="467"/>
      <c r="W62" s="467"/>
      <c r="X62" s="467"/>
      <c r="Y62" s="467"/>
      <c r="Z62" s="467"/>
      <c r="AA62" s="467"/>
      <c r="AB62" s="467"/>
      <c r="AC62" s="467"/>
      <c r="AD62" s="467"/>
    </row>
    <row r="63" spans="17:30">
      <c r="R63" s="467"/>
      <c r="S63" s="467"/>
      <c r="T63" s="467"/>
      <c r="U63" s="467"/>
      <c r="V63" s="467"/>
      <c r="W63" s="467"/>
      <c r="X63" s="467"/>
      <c r="Y63" s="467"/>
      <c r="Z63" s="467"/>
      <c r="AA63" s="467"/>
      <c r="AB63" s="467"/>
      <c r="AC63" s="467"/>
      <c r="AD63" s="467"/>
    </row>
    <row r="64" spans="17:30">
      <c r="R64" s="467"/>
      <c r="S64" s="467"/>
      <c r="T64" s="467"/>
      <c r="U64" s="467"/>
      <c r="V64" s="467"/>
      <c r="W64" s="467"/>
      <c r="X64" s="467"/>
      <c r="Y64" s="467"/>
      <c r="Z64" s="467"/>
      <c r="AA64" s="467"/>
      <c r="AB64" s="467"/>
      <c r="AC64" s="467"/>
      <c r="AD64" s="467"/>
    </row>
    <row r="65" spans="18:30">
      <c r="R65" s="467"/>
      <c r="S65" s="482"/>
      <c r="T65" s="467"/>
      <c r="U65" s="467"/>
      <c r="V65" s="467"/>
      <c r="W65" s="467"/>
      <c r="X65" s="467"/>
      <c r="Y65" s="467"/>
      <c r="Z65" s="467"/>
      <c r="AA65" s="467"/>
      <c r="AB65" s="467"/>
      <c r="AC65" s="467"/>
      <c r="AD65" s="467"/>
    </row>
  </sheetData>
  <mergeCells count="3">
    <mergeCell ref="C11:N11"/>
    <mergeCell ref="C17:N17"/>
    <mergeCell ref="R7:Y7"/>
  </mergeCells>
  <dataValidations count="2">
    <dataValidation type="list" allowBlank="1" showInputMessage="1" showErrorMessage="1" sqref="P11 P17 P29" xr:uid="{00000000-0002-0000-0800-000000000000}">
      <formula1>choix</formula1>
    </dataValidation>
    <dataValidation type="list" allowBlank="1" showInputMessage="1" showErrorMessage="1" sqref="B18:B23 B12:B14 B30:B33 R16:R24 R11:R14 R27:R31" xr:uid="{00000000-0002-0000-0800-000001000000}">
      <formula1>Choix_capacité</formula1>
    </dataValidation>
  </dataValidations>
  <pageMargins left="0.7" right="0.7" top="0.75" bottom="0.75" header="0.3" footer="0.3"/>
  <pageSetup paperSize="9" scale="26" orientation="portrait" horizontalDpi="4294967293"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theme="6"/>
    <pageSetUpPr fitToPage="1"/>
  </sheetPr>
  <dimension ref="A3:V45"/>
  <sheetViews>
    <sheetView zoomScale="80" zoomScaleNormal="80" workbookViewId="0">
      <selection activeCell="O5" sqref="O5:W45"/>
    </sheetView>
  </sheetViews>
  <sheetFormatPr baseColWidth="10" defaultRowHeight="15"/>
  <cols>
    <col min="2" max="2" width="13.6640625" customWidth="1"/>
    <col min="3" max="3" width="15.6640625" customWidth="1"/>
    <col min="11" max="12" width="13.5" bestFit="1" customWidth="1"/>
    <col min="14" max="14" width="11.5" style="238"/>
    <col min="15" max="15" width="16.33203125" customWidth="1"/>
    <col min="16" max="16" width="15.6640625" customWidth="1"/>
    <col min="19" max="19" width="16.1640625" customWidth="1"/>
    <col min="26" max="26" width="17.5" customWidth="1"/>
  </cols>
  <sheetData>
    <row r="3" spans="1:22" ht="16" thickBot="1"/>
    <row r="4" spans="1:22" ht="20" thickBot="1">
      <c r="B4" s="271" t="s">
        <v>101</v>
      </c>
      <c r="C4" s="228" t="s">
        <v>126</v>
      </c>
      <c r="D4" s="229" t="s">
        <v>85</v>
      </c>
      <c r="E4" s="227" t="s">
        <v>84</v>
      </c>
    </row>
    <row r="5" spans="1:22" ht="19">
      <c r="C5" s="230" t="s">
        <v>55</v>
      </c>
      <c r="D5" s="231">
        <v>3</v>
      </c>
      <c r="O5" s="271" t="s">
        <v>101</v>
      </c>
      <c r="P5" s="228" t="s">
        <v>126</v>
      </c>
      <c r="Q5" s="229" t="s">
        <v>85</v>
      </c>
      <c r="R5" s="671" t="s">
        <v>84</v>
      </c>
      <c r="S5" s="983"/>
    </row>
    <row r="6" spans="1:22" ht="16" thickBot="1">
      <c r="C6" s="232" t="s">
        <v>62</v>
      </c>
      <c r="D6" s="252">
        <v>32</v>
      </c>
      <c r="O6" s="983"/>
      <c r="P6" s="230" t="s">
        <v>55</v>
      </c>
      <c r="Q6" s="231">
        <v>3</v>
      </c>
      <c r="R6" s="983"/>
      <c r="S6" s="983"/>
    </row>
    <row r="7" spans="1:22" ht="16" thickBot="1">
      <c r="N7"/>
      <c r="O7" s="983"/>
      <c r="P7" s="232" t="s">
        <v>62</v>
      </c>
      <c r="Q7" s="986">
        <v>32</v>
      </c>
      <c r="R7" s="983"/>
      <c r="S7" s="983"/>
    </row>
    <row r="8" spans="1:22" ht="49" thickBot="1">
      <c r="A8" s="283" t="s">
        <v>79</v>
      </c>
      <c r="K8" s="320" t="s">
        <v>125</v>
      </c>
      <c r="L8" s="320" t="s">
        <v>408</v>
      </c>
      <c r="N8"/>
    </row>
    <row r="9" spans="1:22" ht="17" thickBot="1">
      <c r="N9"/>
      <c r="O9" s="1041" t="s">
        <v>567</v>
      </c>
      <c r="P9" s="1042"/>
      <c r="Q9" s="1042"/>
      <c r="R9" s="1042"/>
      <c r="S9" s="1042"/>
      <c r="T9" s="1042"/>
      <c r="U9" s="1042"/>
      <c r="V9" s="1042"/>
    </row>
    <row r="10" spans="1:22" ht="17" thickBot="1">
      <c r="A10" s="649" t="s">
        <v>127</v>
      </c>
      <c r="B10" s="637"/>
      <c r="C10" s="638" t="s">
        <v>492</v>
      </c>
      <c r="D10" s="639"/>
      <c r="E10" s="639"/>
      <c r="F10" s="639"/>
      <c r="G10" s="639"/>
      <c r="H10" s="639"/>
      <c r="I10" s="639"/>
      <c r="J10" s="640"/>
      <c r="K10" s="641">
        <v>2</v>
      </c>
      <c r="L10" s="648" t="s">
        <v>407</v>
      </c>
      <c r="N10" s="646"/>
      <c r="O10" s="643"/>
      <c r="P10" s="633"/>
      <c r="Q10" s="633"/>
      <c r="R10" s="632"/>
      <c r="S10" s="632"/>
      <c r="T10" s="632"/>
      <c r="U10" s="632"/>
      <c r="V10" s="632"/>
    </row>
    <row r="11" spans="1:22" ht="16">
      <c r="A11" s="632"/>
      <c r="B11" s="642" t="s">
        <v>410</v>
      </c>
      <c r="C11" s="715" t="s">
        <v>1160</v>
      </c>
      <c r="D11" s="632"/>
      <c r="E11" s="632"/>
      <c r="F11" s="632"/>
      <c r="G11" s="632"/>
      <c r="H11" s="632"/>
      <c r="I11" s="632"/>
      <c r="J11" s="632"/>
      <c r="K11" s="635"/>
      <c r="L11" s="632"/>
      <c r="N11" s="646"/>
      <c r="O11" s="449" t="s">
        <v>784</v>
      </c>
      <c r="P11" s="633"/>
      <c r="Q11" s="633"/>
      <c r="R11" s="632"/>
      <c r="S11" s="632"/>
      <c r="T11" s="632"/>
      <c r="U11" s="632"/>
      <c r="V11" s="632"/>
    </row>
    <row r="12" spans="1:22">
      <c r="A12" s="632"/>
      <c r="B12" s="642" t="s">
        <v>410</v>
      </c>
      <c r="C12" s="715" t="s">
        <v>1161</v>
      </c>
      <c r="D12" s="632"/>
      <c r="E12" s="632"/>
      <c r="F12" s="632"/>
      <c r="G12" s="632"/>
      <c r="H12" s="632"/>
      <c r="I12" s="632"/>
      <c r="J12" s="632"/>
      <c r="K12" s="635"/>
      <c r="L12" s="632"/>
      <c r="N12" s="646"/>
      <c r="O12" s="421" t="s">
        <v>492</v>
      </c>
      <c r="P12" s="633"/>
      <c r="Q12" s="633"/>
      <c r="R12" s="632"/>
      <c r="S12" s="632"/>
      <c r="T12" s="632"/>
      <c r="U12" s="632"/>
      <c r="V12" s="632"/>
    </row>
    <row r="13" spans="1:22">
      <c r="A13" s="632"/>
      <c r="B13" s="642" t="s">
        <v>410</v>
      </c>
      <c r="C13" s="715" t="s">
        <v>1162</v>
      </c>
      <c r="D13" s="632"/>
      <c r="E13" s="632"/>
      <c r="F13" s="632"/>
      <c r="G13" s="632"/>
      <c r="H13" s="632"/>
      <c r="I13" s="632"/>
      <c r="J13" s="632"/>
      <c r="K13" s="635"/>
      <c r="L13" s="632"/>
      <c r="N13" s="646"/>
      <c r="O13" s="505" t="s">
        <v>410</v>
      </c>
      <c r="P13" s="632" t="s">
        <v>1160</v>
      </c>
      <c r="Q13" s="633"/>
      <c r="R13" s="632"/>
      <c r="S13" s="632"/>
      <c r="T13" s="632"/>
      <c r="U13" s="632"/>
      <c r="V13" s="632"/>
    </row>
    <row r="14" spans="1:22">
      <c r="A14" s="632"/>
      <c r="B14" s="642" t="s">
        <v>411</v>
      </c>
      <c r="C14" s="632" t="s">
        <v>1163</v>
      </c>
      <c r="D14" s="632"/>
      <c r="E14" s="632"/>
      <c r="F14" s="632"/>
      <c r="G14" s="632"/>
      <c r="H14" s="632"/>
      <c r="I14" s="632"/>
      <c r="J14" s="632"/>
      <c r="K14" s="635"/>
      <c r="L14" s="632"/>
      <c r="N14" s="646"/>
      <c r="O14" s="505" t="s">
        <v>410</v>
      </c>
      <c r="P14" s="632" t="s">
        <v>1161</v>
      </c>
      <c r="Q14" s="633"/>
      <c r="R14" s="632"/>
      <c r="S14" s="632"/>
      <c r="T14" s="632"/>
      <c r="U14" s="632"/>
      <c r="V14" s="632"/>
    </row>
    <row r="15" spans="1:22">
      <c r="A15" s="632"/>
      <c r="B15" s="642" t="s">
        <v>411</v>
      </c>
      <c r="C15" s="632" t="s">
        <v>1164</v>
      </c>
      <c r="D15" s="632"/>
      <c r="E15" s="632"/>
      <c r="F15" s="632"/>
      <c r="G15" s="632"/>
      <c r="H15" s="632"/>
      <c r="I15" s="632"/>
      <c r="J15" s="632"/>
      <c r="K15" s="635"/>
      <c r="L15" s="632"/>
      <c r="N15" s="646"/>
      <c r="O15" s="505" t="s">
        <v>410</v>
      </c>
      <c r="P15" s="632" t="s">
        <v>1162</v>
      </c>
      <c r="Q15" s="633"/>
      <c r="R15" s="632"/>
      <c r="S15" s="632"/>
      <c r="T15" s="632"/>
      <c r="U15" s="632"/>
      <c r="V15" s="632"/>
    </row>
    <row r="16" spans="1:22">
      <c r="A16" s="632"/>
      <c r="B16" s="642" t="s">
        <v>411</v>
      </c>
      <c r="C16" s="632" t="s">
        <v>1165</v>
      </c>
      <c r="D16" s="632"/>
      <c r="E16" s="632"/>
      <c r="F16" s="632"/>
      <c r="G16" s="632"/>
      <c r="H16" s="632"/>
      <c r="I16" s="632"/>
      <c r="J16" s="632"/>
      <c r="K16" s="635"/>
      <c r="L16" s="632"/>
      <c r="N16" s="646"/>
      <c r="O16" s="505" t="s">
        <v>411</v>
      </c>
      <c r="P16" s="632" t="s">
        <v>1163</v>
      </c>
      <c r="Q16" s="633"/>
      <c r="R16" s="632"/>
      <c r="S16" s="632"/>
      <c r="T16" s="632"/>
      <c r="U16" s="632"/>
      <c r="V16" s="632"/>
    </row>
    <row r="17" spans="1:22">
      <c r="A17" s="632"/>
      <c r="B17" s="642" t="s">
        <v>130</v>
      </c>
      <c r="C17" s="632" t="s">
        <v>1166</v>
      </c>
      <c r="D17" s="632" t="s">
        <v>1167</v>
      </c>
      <c r="E17" s="632" t="s">
        <v>1168</v>
      </c>
      <c r="F17" s="632"/>
      <c r="G17" s="632"/>
      <c r="H17" s="632"/>
      <c r="I17" s="632"/>
      <c r="J17" s="632"/>
      <c r="K17" s="635"/>
      <c r="L17" s="632"/>
      <c r="N17" s="646"/>
      <c r="O17" s="505" t="s">
        <v>411</v>
      </c>
      <c r="P17" s="632" t="s">
        <v>1164</v>
      </c>
      <c r="Q17" s="633"/>
      <c r="R17" s="632"/>
      <c r="S17" s="632"/>
      <c r="T17" s="632"/>
      <c r="U17" s="632"/>
      <c r="V17" s="632"/>
    </row>
    <row r="18" spans="1:22" ht="16" thickBot="1">
      <c r="A18" s="632"/>
      <c r="B18" s="632"/>
      <c r="C18" s="632"/>
      <c r="D18" s="632"/>
      <c r="E18" s="632"/>
      <c r="F18" s="632"/>
      <c r="G18" s="632"/>
      <c r="H18" s="632"/>
      <c r="I18" s="632"/>
      <c r="J18" s="632"/>
      <c r="K18" s="635"/>
      <c r="L18" s="632"/>
      <c r="N18" s="646"/>
      <c r="O18" s="505" t="s">
        <v>411</v>
      </c>
      <c r="P18" s="632" t="s">
        <v>1165</v>
      </c>
      <c r="Q18" s="633"/>
      <c r="R18" s="632"/>
      <c r="S18" s="632"/>
      <c r="T18" s="632"/>
      <c r="U18" s="632"/>
      <c r="V18" s="632"/>
    </row>
    <row r="19" spans="1:22" ht="17" thickBot="1">
      <c r="A19" s="649" t="s">
        <v>128</v>
      </c>
      <c r="B19" s="637"/>
      <c r="C19" s="1038" t="s">
        <v>491</v>
      </c>
      <c r="D19" s="1039"/>
      <c r="E19" s="1039"/>
      <c r="F19" s="1039"/>
      <c r="G19" s="1039"/>
      <c r="H19" s="1039"/>
      <c r="I19" s="1039"/>
      <c r="J19" s="1039"/>
      <c r="K19" s="641">
        <v>2</v>
      </c>
      <c r="L19" s="648" t="s">
        <v>407</v>
      </c>
      <c r="N19" s="646"/>
      <c r="O19" s="505" t="s">
        <v>130</v>
      </c>
      <c r="P19" s="632" t="s">
        <v>1166</v>
      </c>
      <c r="Q19" s="632" t="s">
        <v>1167</v>
      </c>
      <c r="R19" s="632" t="s">
        <v>1168</v>
      </c>
      <c r="S19" s="632"/>
      <c r="T19" s="632"/>
      <c r="U19" s="632"/>
      <c r="V19" s="632"/>
    </row>
    <row r="20" spans="1:22">
      <c r="A20" s="632"/>
      <c r="B20" s="642" t="s">
        <v>410</v>
      </c>
      <c r="C20" s="715" t="s">
        <v>1161</v>
      </c>
      <c r="D20" s="632"/>
      <c r="E20" s="632"/>
      <c r="F20" s="632"/>
      <c r="G20" s="632"/>
      <c r="H20" s="632"/>
      <c r="I20" s="632"/>
      <c r="J20" s="632"/>
      <c r="K20" s="635"/>
      <c r="L20" s="632"/>
      <c r="N20" s="646"/>
      <c r="R20" s="632"/>
      <c r="S20" s="632"/>
      <c r="T20" s="632"/>
      <c r="U20" s="632"/>
      <c r="V20" s="632"/>
    </row>
    <row r="21" spans="1:22">
      <c r="A21" s="632"/>
      <c r="B21" s="642" t="s">
        <v>410</v>
      </c>
      <c r="C21" s="715" t="s">
        <v>1169</v>
      </c>
      <c r="D21" s="632"/>
      <c r="E21" s="632"/>
      <c r="F21" s="632"/>
      <c r="G21" s="632"/>
      <c r="H21" s="632"/>
      <c r="I21" s="632"/>
      <c r="J21" s="632"/>
      <c r="K21" s="635"/>
      <c r="L21" s="632"/>
      <c r="N21" s="646"/>
      <c r="O21" s="422" t="s">
        <v>491</v>
      </c>
      <c r="P21" s="643"/>
      <c r="Q21" s="643"/>
      <c r="R21" s="632"/>
      <c r="S21" s="632"/>
      <c r="T21" s="632"/>
      <c r="U21" s="632"/>
      <c r="V21" s="632"/>
    </row>
    <row r="22" spans="1:22">
      <c r="A22" s="632"/>
      <c r="B22" s="642" t="s">
        <v>411</v>
      </c>
      <c r="C22" s="632" t="s">
        <v>1170</v>
      </c>
      <c r="D22" s="632"/>
      <c r="E22" s="632"/>
      <c r="F22" s="632"/>
      <c r="G22" s="632"/>
      <c r="H22" s="632"/>
      <c r="I22" s="632"/>
      <c r="J22" s="632"/>
      <c r="K22" s="635"/>
      <c r="L22" s="632"/>
      <c r="N22" s="646"/>
      <c r="O22" s="505" t="s">
        <v>410</v>
      </c>
      <c r="P22" s="632" t="s">
        <v>1161</v>
      </c>
      <c r="Q22" s="643"/>
      <c r="R22" s="632"/>
      <c r="S22" s="632"/>
      <c r="T22" s="632"/>
      <c r="U22" s="632"/>
      <c r="V22" s="632"/>
    </row>
    <row r="23" spans="1:22">
      <c r="A23" s="632"/>
      <c r="B23" s="642" t="s">
        <v>130</v>
      </c>
      <c r="C23" s="632" t="s">
        <v>1171</v>
      </c>
      <c r="D23" s="632"/>
      <c r="E23" s="632"/>
      <c r="F23" s="632"/>
      <c r="G23" s="632"/>
      <c r="H23" s="632"/>
      <c r="I23" s="632"/>
      <c r="J23" s="632"/>
      <c r="K23" s="632"/>
      <c r="L23" s="632"/>
      <c r="N23" s="646"/>
      <c r="O23" s="505" t="s">
        <v>410</v>
      </c>
      <c r="P23" s="632" t="s">
        <v>1169</v>
      </c>
      <c r="Q23" s="643"/>
      <c r="R23" s="632"/>
      <c r="S23" s="632"/>
      <c r="T23" s="632"/>
      <c r="U23" s="632"/>
      <c r="V23" s="632"/>
    </row>
    <row r="24" spans="1:22" ht="16" thickBot="1">
      <c r="A24" s="632"/>
      <c r="B24" s="632"/>
      <c r="C24" s="632"/>
      <c r="D24" s="632"/>
      <c r="E24" s="632"/>
      <c r="F24" s="632"/>
      <c r="G24" s="632"/>
      <c r="H24" s="632"/>
      <c r="I24" s="632"/>
      <c r="J24" s="632"/>
      <c r="K24" s="632"/>
      <c r="L24" s="632"/>
      <c r="N24" s="646"/>
      <c r="O24" s="505" t="s">
        <v>411</v>
      </c>
      <c r="P24" s="632" t="s">
        <v>1170</v>
      </c>
      <c r="Q24" s="643"/>
      <c r="R24" s="632"/>
      <c r="S24" s="632"/>
      <c r="T24" s="632"/>
      <c r="U24" s="632"/>
      <c r="V24" s="632"/>
    </row>
    <row r="25" spans="1:22" ht="17" thickBot="1">
      <c r="A25" s="649" t="s">
        <v>129</v>
      </c>
      <c r="B25" s="637"/>
      <c r="C25" s="1038" t="s">
        <v>493</v>
      </c>
      <c r="D25" s="1039"/>
      <c r="E25" s="1039"/>
      <c r="F25" s="1039"/>
      <c r="G25" s="1039"/>
      <c r="H25" s="1039"/>
      <c r="I25" s="1039"/>
      <c r="J25" s="1039"/>
      <c r="K25" s="641">
        <v>1</v>
      </c>
      <c r="L25" s="648" t="s">
        <v>409</v>
      </c>
      <c r="N25" s="646"/>
      <c r="O25" s="505" t="s">
        <v>130</v>
      </c>
      <c r="P25" s="632" t="s">
        <v>1171</v>
      </c>
      <c r="Q25" s="643"/>
      <c r="R25" s="632"/>
      <c r="S25" s="632"/>
      <c r="T25" s="632"/>
      <c r="U25" s="632"/>
      <c r="V25" s="632"/>
    </row>
    <row r="26" spans="1:22">
      <c r="A26" s="632"/>
      <c r="B26" s="642" t="s">
        <v>410</v>
      </c>
      <c r="C26" s="715" t="s">
        <v>1172</v>
      </c>
      <c r="D26" s="632"/>
      <c r="E26" s="632"/>
      <c r="F26" s="632"/>
      <c r="G26" s="632"/>
      <c r="H26" s="632"/>
      <c r="I26" s="632"/>
      <c r="J26" s="632"/>
      <c r="K26" s="635"/>
      <c r="L26" s="632"/>
      <c r="N26" s="646"/>
      <c r="O26" s="505"/>
      <c r="P26" s="644"/>
      <c r="Q26" s="632"/>
      <c r="R26" s="632"/>
      <c r="S26" s="632"/>
      <c r="T26" s="632"/>
      <c r="U26" s="632"/>
      <c r="V26" s="632"/>
    </row>
    <row r="27" spans="1:22">
      <c r="A27" s="632"/>
      <c r="B27" s="642" t="s">
        <v>410</v>
      </c>
      <c r="C27" s="715" t="s">
        <v>1173</v>
      </c>
      <c r="D27" s="632"/>
      <c r="E27" s="632"/>
      <c r="F27" s="632"/>
      <c r="G27" s="632"/>
      <c r="H27" s="632"/>
      <c r="I27" s="632"/>
      <c r="J27" s="632"/>
      <c r="K27" s="635"/>
      <c r="L27" s="632"/>
      <c r="N27" s="646"/>
      <c r="O27" s="422" t="s">
        <v>493</v>
      </c>
      <c r="P27" s="632"/>
      <c r="Q27" s="632"/>
      <c r="R27" s="632"/>
      <c r="S27" s="632"/>
      <c r="T27" s="632"/>
      <c r="U27" s="632"/>
      <c r="V27" s="632"/>
    </row>
    <row r="28" spans="1:22">
      <c r="A28" s="632"/>
      <c r="B28" s="642" t="s">
        <v>411</v>
      </c>
      <c r="C28" s="632" t="s">
        <v>1174</v>
      </c>
      <c r="D28" s="632"/>
      <c r="E28" s="632"/>
      <c r="F28" s="632"/>
      <c r="G28" s="632"/>
      <c r="H28" s="632"/>
      <c r="I28" s="632"/>
      <c r="J28" s="632"/>
      <c r="K28" s="635"/>
      <c r="L28" s="632"/>
      <c r="N28" s="646"/>
      <c r="O28" s="505" t="s">
        <v>410</v>
      </c>
      <c r="P28" s="632" t="s">
        <v>1172</v>
      </c>
      <c r="Q28" s="632"/>
      <c r="R28" s="632"/>
      <c r="S28" s="632"/>
      <c r="T28" s="632"/>
      <c r="U28" s="632"/>
      <c r="V28" s="632"/>
    </row>
    <row r="29" spans="1:22">
      <c r="A29" s="632"/>
      <c r="B29" s="642" t="s">
        <v>411</v>
      </c>
      <c r="C29" s="632" t="s">
        <v>1175</v>
      </c>
      <c r="D29" s="632"/>
      <c r="E29" s="632"/>
      <c r="F29" s="632"/>
      <c r="G29" s="632"/>
      <c r="H29" s="632"/>
      <c r="I29" s="632"/>
      <c r="J29" s="632"/>
      <c r="K29" s="632"/>
      <c r="L29" s="632"/>
      <c r="N29" s="646"/>
      <c r="O29" s="505" t="s">
        <v>410</v>
      </c>
      <c r="P29" s="632" t="s">
        <v>1173</v>
      </c>
      <c r="Q29" s="632"/>
      <c r="R29" s="632"/>
      <c r="S29" s="632"/>
      <c r="T29" s="632"/>
      <c r="U29" s="632"/>
      <c r="V29" s="632"/>
    </row>
    <row r="30" spans="1:22">
      <c r="A30" s="632"/>
      <c r="B30" s="642" t="s">
        <v>130</v>
      </c>
      <c r="C30" s="632" t="s">
        <v>1176</v>
      </c>
      <c r="D30" s="632" t="s">
        <v>1174</v>
      </c>
      <c r="E30" s="632" t="s">
        <v>1175</v>
      </c>
      <c r="F30" s="632"/>
      <c r="G30" s="632"/>
      <c r="H30" s="632"/>
      <c r="I30" s="632"/>
      <c r="J30" s="632"/>
      <c r="K30" s="632"/>
      <c r="L30" s="632"/>
      <c r="N30" s="646"/>
      <c r="O30" s="505" t="s">
        <v>411</v>
      </c>
      <c r="P30" s="632" t="s">
        <v>1174</v>
      </c>
      <c r="Q30" s="632"/>
      <c r="R30" s="632"/>
      <c r="S30" s="632"/>
      <c r="T30" s="632"/>
      <c r="U30" s="632"/>
      <c r="V30" s="632"/>
    </row>
    <row r="31" spans="1:22" ht="16" thickBot="1">
      <c r="A31" s="632"/>
      <c r="B31" s="632"/>
      <c r="C31" s="632"/>
      <c r="D31" s="632"/>
      <c r="E31" s="632"/>
      <c r="F31" s="632"/>
      <c r="G31" s="632"/>
      <c r="H31" s="632"/>
      <c r="I31" s="632"/>
      <c r="J31" s="632"/>
      <c r="K31" s="632"/>
      <c r="L31" s="632"/>
      <c r="M31" s="238"/>
      <c r="N31" s="646"/>
      <c r="O31" s="505" t="s">
        <v>411</v>
      </c>
      <c r="P31" s="632" t="s">
        <v>1175</v>
      </c>
      <c r="Q31" s="632"/>
      <c r="R31" s="632"/>
      <c r="S31" s="632"/>
      <c r="T31" s="632"/>
      <c r="U31" s="632"/>
      <c r="V31" s="632"/>
    </row>
    <row r="32" spans="1:22" ht="17" thickBot="1">
      <c r="A32" s="649" t="s">
        <v>140</v>
      </c>
      <c r="B32" s="637"/>
      <c r="C32" s="1038" t="s">
        <v>495</v>
      </c>
      <c r="D32" s="1039"/>
      <c r="E32" s="1039"/>
      <c r="F32" s="1039"/>
      <c r="G32" s="1039"/>
      <c r="H32" s="1039"/>
      <c r="I32" s="1039"/>
      <c r="J32" s="1039"/>
      <c r="K32" s="641">
        <v>1</v>
      </c>
      <c r="L32" s="648" t="s">
        <v>407</v>
      </c>
      <c r="N32" s="646"/>
      <c r="O32" s="505" t="s">
        <v>130</v>
      </c>
      <c r="P32" s="632" t="s">
        <v>1176</v>
      </c>
      <c r="Q32" s="632" t="s">
        <v>1174</v>
      </c>
      <c r="R32" s="632" t="s">
        <v>1175</v>
      </c>
      <c r="S32" s="632"/>
      <c r="T32" s="632"/>
      <c r="U32" s="632"/>
      <c r="V32" s="632"/>
    </row>
    <row r="33" spans="1:22">
      <c r="A33" s="632"/>
      <c r="B33" s="642" t="s">
        <v>410</v>
      </c>
      <c r="C33" s="715" t="s">
        <v>1177</v>
      </c>
      <c r="D33" s="632"/>
      <c r="E33" s="632"/>
      <c r="F33" s="632"/>
      <c r="G33" s="632"/>
      <c r="H33" s="632"/>
      <c r="I33" s="632"/>
      <c r="J33" s="632"/>
      <c r="K33" s="635"/>
      <c r="L33" s="632"/>
      <c r="N33" s="647"/>
      <c r="O33" s="643"/>
      <c r="P33" s="632"/>
      <c r="Q33" s="632"/>
      <c r="R33" s="632"/>
      <c r="S33" s="632"/>
      <c r="T33" s="632"/>
      <c r="U33" s="632"/>
      <c r="V33" s="632"/>
    </row>
    <row r="34" spans="1:22">
      <c r="A34" s="632"/>
      <c r="B34" s="642" t="s">
        <v>411</v>
      </c>
      <c r="C34" s="632" t="s">
        <v>1178</v>
      </c>
      <c r="D34" s="632"/>
      <c r="E34" s="632"/>
      <c r="F34" s="632"/>
      <c r="G34" s="632"/>
      <c r="H34" s="632"/>
      <c r="I34" s="632"/>
      <c r="J34" s="632"/>
      <c r="K34" s="635"/>
      <c r="L34" s="632"/>
      <c r="N34" s="647"/>
      <c r="O34" s="422" t="s">
        <v>495</v>
      </c>
      <c r="P34" s="632"/>
      <c r="Q34" s="632"/>
      <c r="S34" s="632"/>
      <c r="T34" s="632"/>
      <c r="U34" s="632"/>
      <c r="V34" s="632"/>
    </row>
    <row r="35" spans="1:22">
      <c r="A35" s="632"/>
      <c r="B35" s="642" t="s">
        <v>130</v>
      </c>
      <c r="C35" s="632" t="s">
        <v>1178</v>
      </c>
      <c r="D35" s="632"/>
      <c r="E35" s="632"/>
      <c r="F35" s="632"/>
      <c r="G35" s="632"/>
      <c r="H35" s="632"/>
      <c r="I35" s="632"/>
      <c r="J35" s="632"/>
      <c r="K35" s="632"/>
      <c r="L35" s="632"/>
      <c r="N35" s="647"/>
      <c r="O35" s="505" t="s">
        <v>410</v>
      </c>
      <c r="P35" s="632" t="s">
        <v>1177</v>
      </c>
      <c r="Q35" s="632"/>
    </row>
    <row r="36" spans="1:22">
      <c r="N36" s="647"/>
      <c r="O36" s="505" t="s">
        <v>411</v>
      </c>
      <c r="P36" s="632" t="s">
        <v>1178</v>
      </c>
    </row>
    <row r="37" spans="1:22">
      <c r="N37" s="647"/>
      <c r="O37" s="505" t="s">
        <v>130</v>
      </c>
      <c r="P37" s="632" t="s">
        <v>1178</v>
      </c>
    </row>
    <row r="38" spans="1:22">
      <c r="N38" s="647"/>
    </row>
    <row r="39" spans="1:22">
      <c r="C39" s="636"/>
      <c r="N39" s="647"/>
    </row>
    <row r="40" spans="1:22">
      <c r="N40" s="647"/>
    </row>
    <row r="41" spans="1:22">
      <c r="N41" s="647"/>
    </row>
    <row r="42" spans="1:22" ht="16">
      <c r="N42" s="647"/>
      <c r="O42" s="448" t="s">
        <v>186</v>
      </c>
    </row>
    <row r="43" spans="1:22">
      <c r="N43" s="647"/>
      <c r="O43" s="645" t="s">
        <v>235</v>
      </c>
    </row>
    <row r="44" spans="1:22">
      <c r="N44" s="647"/>
      <c r="O44" s="645" t="s">
        <v>236</v>
      </c>
    </row>
    <row r="45" spans="1:22">
      <c r="N45" s="647"/>
      <c r="O45" s="643" t="s">
        <v>237</v>
      </c>
    </row>
  </sheetData>
  <mergeCells count="4">
    <mergeCell ref="O9:V9"/>
    <mergeCell ref="C19:J19"/>
    <mergeCell ref="C25:J25"/>
    <mergeCell ref="C32:J32"/>
  </mergeCells>
  <dataValidations disablePrompts="1" count="2">
    <dataValidation type="list" allowBlank="1" showInputMessage="1" showErrorMessage="1" sqref="L10 L19 L25 L32" xr:uid="{00000000-0002-0000-0900-000000000000}">
      <formula1>choix</formula1>
    </dataValidation>
    <dataValidation type="list" allowBlank="1" showInputMessage="1" showErrorMessage="1" sqref="B11:B16 B20:B22 B26:B29 B33:B34 O22:O24 O13:O18 O26 O28:O31 O35:O36" xr:uid="{00000000-0002-0000-0900-000001000000}">
      <formula1>Choix_capacité</formula1>
    </dataValidation>
  </dataValidations>
  <pageMargins left="0.7" right="0.7" top="0.75" bottom="0.75" header="0.3" footer="0.3"/>
  <pageSetup paperSize="9" scale="31" orientation="portrait" verticalDpi="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tabColor theme="4"/>
    <pageSetUpPr fitToPage="1"/>
  </sheetPr>
  <dimension ref="A3:X57"/>
  <sheetViews>
    <sheetView topLeftCell="A19" zoomScale="80" zoomScaleNormal="80" workbookViewId="0">
      <selection activeCell="O5" sqref="O5:X56"/>
    </sheetView>
  </sheetViews>
  <sheetFormatPr baseColWidth="10" defaultRowHeight="15"/>
  <cols>
    <col min="2" max="2" width="13.6640625" customWidth="1"/>
    <col min="3" max="3" width="17.6640625" customWidth="1"/>
    <col min="11" max="11" width="19.5" customWidth="1"/>
    <col min="12" max="13" width="13.5" bestFit="1" customWidth="1"/>
    <col min="15" max="15" width="14.33203125" customWidth="1"/>
    <col min="16" max="16" width="15.6640625" customWidth="1"/>
  </cols>
  <sheetData>
    <row r="3" spans="1:24" ht="16" thickBot="1"/>
    <row r="4" spans="1:24" ht="20" thickBot="1">
      <c r="B4" s="272" t="s">
        <v>102</v>
      </c>
      <c r="C4" s="228" t="s">
        <v>126</v>
      </c>
      <c r="D4" s="229" t="s">
        <v>19</v>
      </c>
      <c r="E4" s="227" t="s">
        <v>18</v>
      </c>
      <c r="G4" s="242"/>
    </row>
    <row r="5" spans="1:24" ht="19">
      <c r="C5" s="230" t="s">
        <v>55</v>
      </c>
      <c r="D5" s="231">
        <v>2</v>
      </c>
      <c r="O5" s="272" t="s">
        <v>102</v>
      </c>
      <c r="P5" s="228" t="s">
        <v>126</v>
      </c>
      <c r="Q5" s="229" t="s">
        <v>19</v>
      </c>
      <c r="R5" s="671" t="s">
        <v>18</v>
      </c>
      <c r="S5" s="983"/>
    </row>
    <row r="6" spans="1:24" ht="16" thickBot="1">
      <c r="C6" s="232" t="s">
        <v>62</v>
      </c>
      <c r="D6" s="252">
        <v>32</v>
      </c>
      <c r="O6" s="983"/>
      <c r="P6" s="230" t="s">
        <v>55</v>
      </c>
      <c r="Q6" s="231">
        <v>2</v>
      </c>
      <c r="R6" s="983"/>
      <c r="S6" s="983"/>
    </row>
    <row r="7" spans="1:24" ht="16" thickBot="1">
      <c r="O7" s="983"/>
      <c r="P7" s="232" t="s">
        <v>62</v>
      </c>
      <c r="Q7" s="986">
        <v>32</v>
      </c>
      <c r="R7" s="983"/>
      <c r="S7" s="983"/>
    </row>
    <row r="8" spans="1:24" ht="49" thickBot="1">
      <c r="L8" s="320" t="s">
        <v>125</v>
      </c>
      <c r="M8" s="320" t="s">
        <v>408</v>
      </c>
    </row>
    <row r="9" spans="1:24" ht="17" thickBot="1">
      <c r="O9" s="1041" t="s">
        <v>567</v>
      </c>
      <c r="P9" s="1042"/>
      <c r="Q9" s="1042"/>
      <c r="R9" s="1042"/>
      <c r="S9" s="1042"/>
      <c r="T9" s="1042"/>
      <c r="U9" s="1042"/>
      <c r="V9" s="1042"/>
    </row>
    <row r="10" spans="1:24" ht="17" thickBot="1">
      <c r="A10" s="698" t="s">
        <v>127</v>
      </c>
      <c r="B10" s="672"/>
      <c r="C10" s="673" t="s">
        <v>476</v>
      </c>
      <c r="D10" s="674"/>
      <c r="E10" s="674"/>
      <c r="F10" s="674"/>
      <c r="G10" s="674"/>
      <c r="H10" s="674"/>
      <c r="I10" s="674"/>
      <c r="J10" s="674"/>
      <c r="K10" s="675"/>
      <c r="L10" s="678">
        <v>2</v>
      </c>
      <c r="M10" s="697" t="s">
        <v>407</v>
      </c>
      <c r="N10" s="690"/>
      <c r="O10" s="680"/>
      <c r="P10" s="667"/>
      <c r="Q10" s="667"/>
      <c r="R10" s="666"/>
      <c r="S10" s="666"/>
      <c r="T10" s="666"/>
      <c r="U10" s="666"/>
      <c r="V10" s="666"/>
    </row>
    <row r="11" spans="1:24" ht="16">
      <c r="A11" s="666"/>
      <c r="B11" s="679" t="s">
        <v>410</v>
      </c>
      <c r="C11" s="1068" t="s">
        <v>1209</v>
      </c>
      <c r="D11" s="1068"/>
      <c r="E11" s="1068"/>
      <c r="F11" s="1068"/>
      <c r="G11" s="1068"/>
      <c r="H11" s="1068"/>
      <c r="I11" s="1068"/>
      <c r="J11" s="1068"/>
      <c r="K11" s="1068"/>
      <c r="L11" s="670"/>
      <c r="M11" s="666"/>
      <c r="N11" s="690"/>
      <c r="O11" s="449" t="s">
        <v>784</v>
      </c>
      <c r="P11" s="667"/>
      <c r="Q11" s="667"/>
      <c r="R11" s="666"/>
      <c r="S11" s="666"/>
      <c r="T11" s="666"/>
      <c r="U11" s="666"/>
      <c r="V11" s="666"/>
    </row>
    <row r="12" spans="1:24">
      <c r="A12" s="666"/>
      <c r="B12" s="679" t="s">
        <v>410</v>
      </c>
      <c r="C12" s="1069" t="s">
        <v>1210</v>
      </c>
      <c r="D12" s="1069"/>
      <c r="E12" s="1069"/>
      <c r="F12" s="1069"/>
      <c r="G12" s="1069"/>
      <c r="H12" s="1069"/>
      <c r="I12" s="1069"/>
      <c r="J12" s="1069"/>
      <c r="K12" s="1069"/>
      <c r="L12" s="670"/>
      <c r="M12" s="666"/>
      <c r="N12" s="690"/>
      <c r="O12" s="421" t="s">
        <v>476</v>
      </c>
      <c r="P12" s="667"/>
      <c r="Q12" s="667"/>
      <c r="R12" s="680"/>
      <c r="S12" s="680"/>
      <c r="T12" s="680"/>
      <c r="U12" s="680"/>
      <c r="V12" s="680"/>
      <c r="W12" s="680"/>
      <c r="X12" s="680"/>
    </row>
    <row r="13" spans="1:24">
      <c r="A13" s="666"/>
      <c r="B13" s="679" t="s">
        <v>410</v>
      </c>
      <c r="C13" s="1069" t="s">
        <v>1211</v>
      </c>
      <c r="D13" s="1069"/>
      <c r="E13" s="1069"/>
      <c r="F13" s="1069"/>
      <c r="G13" s="1069"/>
      <c r="H13" s="1069"/>
      <c r="I13" s="1069"/>
      <c r="J13" s="1069"/>
      <c r="K13" s="1069"/>
      <c r="L13" s="670"/>
      <c r="M13" s="666"/>
      <c r="N13" s="690"/>
      <c r="O13" s="628" t="s">
        <v>410</v>
      </c>
      <c r="P13" s="1044" t="s">
        <v>1209</v>
      </c>
      <c r="Q13" s="1044"/>
      <c r="R13" s="1044"/>
      <c r="S13" s="1044"/>
      <c r="T13" s="1044"/>
      <c r="U13" s="1044"/>
      <c r="V13" s="1044"/>
      <c r="W13" s="1044"/>
      <c r="X13" s="1044"/>
    </row>
    <row r="14" spans="1:24">
      <c r="A14" s="666"/>
      <c r="B14" s="679" t="s">
        <v>411</v>
      </c>
      <c r="C14" s="1067" t="s">
        <v>1212</v>
      </c>
      <c r="D14" s="1067"/>
      <c r="E14" s="1067"/>
      <c r="F14" s="1067"/>
      <c r="G14" s="1067"/>
      <c r="H14" s="1067"/>
      <c r="I14" s="1067"/>
      <c r="J14" s="1067"/>
      <c r="K14" s="1067"/>
      <c r="L14" s="670"/>
      <c r="M14" s="666"/>
      <c r="N14" s="690"/>
      <c r="O14" s="628" t="s">
        <v>410</v>
      </c>
      <c r="P14" s="1044" t="s">
        <v>1210</v>
      </c>
      <c r="Q14" s="1044"/>
      <c r="R14" s="1044"/>
      <c r="S14" s="1044"/>
      <c r="T14" s="1044"/>
      <c r="U14" s="1044"/>
      <c r="V14" s="1044"/>
      <c r="W14" s="1044"/>
      <c r="X14" s="1044"/>
    </row>
    <row r="15" spans="1:24">
      <c r="A15" s="666"/>
      <c r="B15" s="679" t="s">
        <v>411</v>
      </c>
      <c r="C15" s="1067" t="s">
        <v>1213</v>
      </c>
      <c r="D15" s="1067"/>
      <c r="E15" s="1067"/>
      <c r="F15" s="1067"/>
      <c r="G15" s="1067"/>
      <c r="H15" s="1067"/>
      <c r="I15" s="1067"/>
      <c r="J15" s="1067"/>
      <c r="K15" s="1067"/>
      <c r="L15" s="670"/>
      <c r="M15" s="666"/>
      <c r="N15" s="690"/>
      <c r="O15" s="628" t="s">
        <v>410</v>
      </c>
      <c r="P15" s="1044" t="s">
        <v>1211</v>
      </c>
      <c r="Q15" s="1044"/>
      <c r="R15" s="1044"/>
      <c r="S15" s="1044"/>
      <c r="T15" s="1044"/>
      <c r="U15" s="1044"/>
      <c r="V15" s="1044"/>
      <c r="W15" s="1044"/>
      <c r="X15" s="1044"/>
    </row>
    <row r="16" spans="1:24">
      <c r="A16" s="666"/>
      <c r="B16" s="679" t="s">
        <v>411</v>
      </c>
      <c r="C16" s="1067" t="s">
        <v>1214</v>
      </c>
      <c r="D16" s="1067"/>
      <c r="E16" s="1067"/>
      <c r="F16" s="1067"/>
      <c r="G16" s="1067"/>
      <c r="H16" s="1067"/>
      <c r="I16" s="1067"/>
      <c r="J16" s="1067"/>
      <c r="K16" s="1067"/>
      <c r="L16" s="670"/>
      <c r="M16" s="666"/>
      <c r="N16" s="690"/>
      <c r="O16" s="628" t="s">
        <v>411</v>
      </c>
      <c r="P16" s="1070" t="s">
        <v>1212</v>
      </c>
      <c r="Q16" s="1070"/>
      <c r="R16" s="1070"/>
      <c r="S16" s="1070"/>
      <c r="T16" s="1070"/>
      <c r="U16" s="1070"/>
      <c r="V16" s="1070"/>
      <c r="W16" s="1070"/>
      <c r="X16" s="1070"/>
    </row>
    <row r="17" spans="1:24">
      <c r="A17" s="666"/>
      <c r="B17" s="679" t="s">
        <v>130</v>
      </c>
      <c r="C17" s="1067" t="s">
        <v>1215</v>
      </c>
      <c r="D17" s="1067"/>
      <c r="E17" s="1067"/>
      <c r="F17" s="1067"/>
      <c r="G17" s="1067"/>
      <c r="H17" s="1067"/>
      <c r="I17" s="1067"/>
      <c r="J17" s="1067"/>
      <c r="K17" s="1067"/>
      <c r="L17" s="666"/>
      <c r="M17" s="666"/>
      <c r="N17" s="690"/>
      <c r="O17" s="628" t="s">
        <v>411</v>
      </c>
      <c r="P17" s="1070" t="s">
        <v>1213</v>
      </c>
      <c r="Q17" s="1070"/>
      <c r="R17" s="1070"/>
      <c r="S17" s="1070"/>
      <c r="T17" s="1070"/>
      <c r="U17" s="1070"/>
      <c r="V17" s="1070"/>
      <c r="W17" s="1070"/>
      <c r="X17" s="1070"/>
    </row>
    <row r="18" spans="1:24" ht="16" thickBot="1">
      <c r="A18" s="666"/>
      <c r="B18" s="666"/>
      <c r="C18" s="666"/>
      <c r="D18" s="666"/>
      <c r="E18" s="666"/>
      <c r="F18" s="666"/>
      <c r="G18" s="666"/>
      <c r="H18" s="666"/>
      <c r="I18" s="666"/>
      <c r="J18" s="666"/>
      <c r="K18" s="666"/>
      <c r="L18" s="666"/>
      <c r="M18" s="666"/>
      <c r="N18" s="690"/>
      <c r="O18" s="628" t="s">
        <v>411</v>
      </c>
      <c r="P18" s="1070" t="s">
        <v>1214</v>
      </c>
      <c r="Q18" s="1070"/>
      <c r="R18" s="1070"/>
      <c r="S18" s="1070"/>
      <c r="T18" s="1070"/>
      <c r="U18" s="1070"/>
      <c r="V18" s="1070"/>
      <c r="W18" s="1070"/>
      <c r="X18" s="1070"/>
    </row>
    <row r="19" spans="1:24" ht="17" thickBot="1">
      <c r="A19" s="698" t="s">
        <v>128</v>
      </c>
      <c r="B19" s="672"/>
      <c r="C19" s="673" t="s">
        <v>497</v>
      </c>
      <c r="D19" s="674"/>
      <c r="E19" s="674"/>
      <c r="F19" s="674"/>
      <c r="G19" s="674"/>
      <c r="H19" s="674"/>
      <c r="I19" s="674"/>
      <c r="J19" s="674"/>
      <c r="K19" s="675"/>
      <c r="L19" s="678">
        <v>1</v>
      </c>
      <c r="M19" s="697" t="s">
        <v>407</v>
      </c>
      <c r="N19" s="690"/>
      <c r="O19" s="628" t="s">
        <v>130</v>
      </c>
      <c r="P19" s="1070" t="s">
        <v>1215</v>
      </c>
      <c r="Q19" s="1070"/>
      <c r="R19" s="1070"/>
      <c r="S19" s="1070"/>
      <c r="T19" s="1070"/>
      <c r="U19" s="1070"/>
      <c r="V19" s="1070"/>
      <c r="W19" s="1070"/>
      <c r="X19" s="1070"/>
    </row>
    <row r="20" spans="1:24">
      <c r="A20" s="666"/>
      <c r="B20" s="679" t="s">
        <v>410</v>
      </c>
      <c r="C20" s="1068" t="s">
        <v>1209</v>
      </c>
      <c r="D20" s="1068"/>
      <c r="E20" s="1068"/>
      <c r="F20" s="1068"/>
      <c r="G20" s="1068"/>
      <c r="H20" s="1068"/>
      <c r="I20" s="1068"/>
      <c r="J20" s="1068"/>
      <c r="K20" s="1068"/>
      <c r="L20" s="670"/>
      <c r="M20" s="666"/>
      <c r="N20" s="690"/>
      <c r="O20" s="680"/>
      <c r="P20" s="680"/>
      <c r="Q20" s="680"/>
      <c r="R20" s="680"/>
      <c r="S20" s="680"/>
      <c r="T20" s="680"/>
      <c r="U20" s="680"/>
      <c r="V20" s="680"/>
      <c r="W20" s="680"/>
      <c r="X20" s="680"/>
    </row>
    <row r="21" spans="1:24">
      <c r="A21" s="666"/>
      <c r="B21" s="679" t="s">
        <v>410</v>
      </c>
      <c r="C21" s="1069" t="s">
        <v>1216</v>
      </c>
      <c r="D21" s="1069"/>
      <c r="E21" s="1069"/>
      <c r="F21" s="1069"/>
      <c r="G21" s="1069"/>
      <c r="H21" s="1069"/>
      <c r="I21" s="1069"/>
      <c r="J21" s="1069"/>
      <c r="K21" s="1069"/>
      <c r="L21" s="670"/>
      <c r="M21" s="666"/>
      <c r="N21" s="690"/>
      <c r="O21" s="422" t="s">
        <v>497</v>
      </c>
      <c r="P21" s="680"/>
      <c r="Q21" s="680"/>
      <c r="R21" s="680"/>
      <c r="S21" s="680"/>
      <c r="T21" s="680"/>
      <c r="U21" s="680"/>
      <c r="V21" s="680"/>
      <c r="W21" s="680"/>
      <c r="X21" s="680"/>
    </row>
    <row r="22" spans="1:24">
      <c r="A22" s="666"/>
      <c r="B22" s="679" t="s">
        <v>410</v>
      </c>
      <c r="C22" s="1069" t="s">
        <v>1217</v>
      </c>
      <c r="D22" s="1069"/>
      <c r="E22" s="1069"/>
      <c r="F22" s="1069"/>
      <c r="G22" s="1069"/>
      <c r="H22" s="1069"/>
      <c r="I22" s="1069"/>
      <c r="J22" s="1069"/>
      <c r="K22" s="1069"/>
      <c r="L22" s="670"/>
      <c r="M22" s="666"/>
      <c r="N22" s="690"/>
      <c r="O22" s="671" t="s">
        <v>410</v>
      </c>
      <c r="P22" s="1044" t="s">
        <v>1209</v>
      </c>
      <c r="Q22" s="1044"/>
      <c r="R22" s="1044"/>
      <c r="S22" s="1044"/>
      <c r="T22" s="1044"/>
      <c r="U22" s="1044"/>
      <c r="V22" s="1044"/>
      <c r="W22" s="1044"/>
      <c r="X22" s="1044"/>
    </row>
    <row r="23" spans="1:24">
      <c r="A23" s="666"/>
      <c r="B23" s="679" t="s">
        <v>411</v>
      </c>
      <c r="C23" s="1067" t="s">
        <v>1218</v>
      </c>
      <c r="D23" s="1067"/>
      <c r="E23" s="1067"/>
      <c r="F23" s="1067"/>
      <c r="G23" s="1067"/>
      <c r="H23" s="1067"/>
      <c r="I23" s="1067"/>
      <c r="J23" s="1067"/>
      <c r="K23" s="1067"/>
      <c r="L23" s="670"/>
      <c r="M23" s="666"/>
      <c r="N23" s="690"/>
      <c r="O23" s="671" t="s">
        <v>410</v>
      </c>
      <c r="P23" s="1044" t="s">
        <v>1216</v>
      </c>
      <c r="Q23" s="1044"/>
      <c r="R23" s="1044"/>
      <c r="S23" s="1044"/>
      <c r="T23" s="1044"/>
      <c r="U23" s="1044"/>
      <c r="V23" s="1044"/>
      <c r="W23" s="1044"/>
      <c r="X23" s="1044"/>
    </row>
    <row r="24" spans="1:24">
      <c r="A24" s="666"/>
      <c r="B24" s="679" t="s">
        <v>411</v>
      </c>
      <c r="C24" s="1067" t="s">
        <v>1213</v>
      </c>
      <c r="D24" s="1067"/>
      <c r="E24" s="1067"/>
      <c r="F24" s="1067"/>
      <c r="G24" s="1067"/>
      <c r="H24" s="1067"/>
      <c r="I24" s="1067"/>
      <c r="J24" s="1067"/>
      <c r="K24" s="1067"/>
      <c r="L24" s="670"/>
      <c r="M24" s="666"/>
      <c r="N24" s="690"/>
      <c r="O24" s="671" t="s">
        <v>410</v>
      </c>
      <c r="P24" s="1044" t="s">
        <v>1217</v>
      </c>
      <c r="Q24" s="1044"/>
      <c r="R24" s="1044"/>
      <c r="S24" s="1044"/>
      <c r="T24" s="1044"/>
      <c r="U24" s="1044"/>
      <c r="V24" s="1044"/>
      <c r="W24" s="1044"/>
      <c r="X24" s="1044"/>
    </row>
    <row r="25" spans="1:24">
      <c r="A25" s="666"/>
      <c r="B25" s="679" t="s">
        <v>411</v>
      </c>
      <c r="C25" s="1067" t="s">
        <v>1219</v>
      </c>
      <c r="D25" s="1067"/>
      <c r="E25" s="1067"/>
      <c r="F25" s="1067"/>
      <c r="G25" s="1067"/>
      <c r="H25" s="1067"/>
      <c r="I25" s="1067"/>
      <c r="J25" s="1067"/>
      <c r="K25" s="1067"/>
      <c r="L25" s="670"/>
      <c r="M25" s="666"/>
      <c r="N25" s="690"/>
      <c r="O25" s="671" t="s">
        <v>411</v>
      </c>
      <c r="P25" s="1070" t="s">
        <v>1218</v>
      </c>
      <c r="Q25" s="1070"/>
      <c r="R25" s="1070"/>
      <c r="S25" s="1070"/>
      <c r="T25" s="1070"/>
      <c r="U25" s="1070"/>
      <c r="V25" s="1070"/>
      <c r="W25" s="1070"/>
      <c r="X25" s="1070"/>
    </row>
    <row r="26" spans="1:24">
      <c r="A26" s="666"/>
      <c r="B26" s="679" t="s">
        <v>130</v>
      </c>
      <c r="C26" s="1067" t="s">
        <v>1220</v>
      </c>
      <c r="D26" s="1067"/>
      <c r="E26" s="1067"/>
      <c r="F26" s="1067"/>
      <c r="G26" s="1067"/>
      <c r="H26" s="1067"/>
      <c r="I26" s="1067"/>
      <c r="J26" s="1067"/>
      <c r="K26" s="1067"/>
      <c r="L26" s="666"/>
      <c r="M26" s="666"/>
      <c r="N26" s="690"/>
      <c r="O26" s="671" t="s">
        <v>411</v>
      </c>
      <c r="P26" s="1070" t="s">
        <v>1213</v>
      </c>
      <c r="Q26" s="1070"/>
      <c r="R26" s="1070"/>
      <c r="S26" s="1070"/>
      <c r="T26" s="1070"/>
      <c r="U26" s="1070"/>
      <c r="V26" s="1070"/>
      <c r="W26" s="1070"/>
      <c r="X26" s="1070"/>
    </row>
    <row r="27" spans="1:24" ht="16" thickBot="1">
      <c r="A27" s="666"/>
      <c r="B27" s="666"/>
      <c r="C27" s="666"/>
      <c r="D27" s="666"/>
      <c r="E27" s="666"/>
      <c r="F27" s="666"/>
      <c r="G27" s="666"/>
      <c r="H27" s="666"/>
      <c r="I27" s="666"/>
      <c r="J27" s="666"/>
      <c r="K27" s="666"/>
      <c r="L27" s="666"/>
      <c r="M27" s="666"/>
      <c r="N27" s="690"/>
      <c r="O27" s="671" t="s">
        <v>411</v>
      </c>
      <c r="P27" s="1070" t="s">
        <v>1219</v>
      </c>
      <c r="Q27" s="1070"/>
      <c r="R27" s="1070"/>
      <c r="S27" s="1070"/>
      <c r="T27" s="1070"/>
      <c r="U27" s="1070"/>
      <c r="V27" s="1070"/>
      <c r="W27" s="1070"/>
      <c r="X27" s="1070"/>
    </row>
    <row r="28" spans="1:24" ht="17" thickBot="1">
      <c r="A28" s="698" t="s">
        <v>129</v>
      </c>
      <c r="B28" s="672"/>
      <c r="C28" s="673" t="s">
        <v>477</v>
      </c>
      <c r="D28" s="674"/>
      <c r="E28" s="674"/>
      <c r="F28" s="674"/>
      <c r="G28" s="674"/>
      <c r="H28" s="674"/>
      <c r="I28" s="674"/>
      <c r="J28" s="674"/>
      <c r="K28" s="675"/>
      <c r="L28" s="678">
        <v>1</v>
      </c>
      <c r="M28" s="697" t="s">
        <v>409</v>
      </c>
      <c r="N28" s="690"/>
      <c r="O28" s="671" t="s">
        <v>130</v>
      </c>
      <c r="P28" s="1070" t="s">
        <v>1220</v>
      </c>
      <c r="Q28" s="1070"/>
      <c r="R28" s="1070"/>
      <c r="S28" s="1070"/>
      <c r="T28" s="1070"/>
      <c r="U28" s="1070"/>
      <c r="V28" s="1070"/>
      <c r="W28" s="1070"/>
      <c r="X28" s="1070"/>
    </row>
    <row r="29" spans="1:24">
      <c r="A29" s="666"/>
      <c r="B29" s="679" t="s">
        <v>410</v>
      </c>
      <c r="C29" s="1068" t="s">
        <v>1209</v>
      </c>
      <c r="D29" s="1068"/>
      <c r="E29" s="1068"/>
      <c r="F29" s="1068"/>
      <c r="G29" s="1068"/>
      <c r="H29" s="1068"/>
      <c r="I29" s="1068"/>
      <c r="J29" s="1068"/>
      <c r="K29" s="1068"/>
      <c r="L29" s="670"/>
      <c r="M29" s="666"/>
      <c r="N29" s="690"/>
      <c r="O29" s="628"/>
      <c r="P29" s="494"/>
      <c r="Q29" s="680"/>
      <c r="R29" s="680"/>
      <c r="S29" s="680"/>
      <c r="T29" s="680"/>
      <c r="U29" s="680"/>
      <c r="V29" s="680"/>
      <c r="W29" s="680"/>
      <c r="X29" s="680"/>
    </row>
    <row r="30" spans="1:24">
      <c r="A30" s="666"/>
      <c r="B30" s="679" t="s">
        <v>410</v>
      </c>
      <c r="C30" s="1069" t="s">
        <v>1221</v>
      </c>
      <c r="D30" s="1069"/>
      <c r="E30" s="1069"/>
      <c r="F30" s="1069"/>
      <c r="G30" s="1069"/>
      <c r="H30" s="1069"/>
      <c r="I30" s="1069"/>
      <c r="J30" s="1069"/>
      <c r="K30" s="1069"/>
      <c r="L30" s="670"/>
      <c r="M30" s="666"/>
      <c r="N30" s="690"/>
      <c r="O30" s="422" t="s">
        <v>477</v>
      </c>
      <c r="P30" s="681"/>
      <c r="Q30" s="680"/>
      <c r="R30" s="680"/>
      <c r="S30" s="680"/>
      <c r="T30" s="680"/>
      <c r="U30" s="680"/>
      <c r="V30" s="680"/>
      <c r="W30" s="680"/>
      <c r="X30" s="680"/>
    </row>
    <row r="31" spans="1:24">
      <c r="A31" s="666"/>
      <c r="B31" s="679" t="s">
        <v>411</v>
      </c>
      <c r="C31" s="1067" t="s">
        <v>1222</v>
      </c>
      <c r="D31" s="1067"/>
      <c r="E31" s="1067"/>
      <c r="F31" s="1067"/>
      <c r="G31" s="1067"/>
      <c r="H31" s="1067"/>
      <c r="I31" s="1067"/>
      <c r="J31" s="1067"/>
      <c r="K31" s="1067"/>
      <c r="L31" s="670"/>
      <c r="M31" s="666"/>
      <c r="N31" s="690"/>
      <c r="O31" s="671" t="s">
        <v>410</v>
      </c>
      <c r="P31" s="1044" t="s">
        <v>1209</v>
      </c>
      <c r="Q31" s="1044"/>
      <c r="R31" s="1044"/>
      <c r="S31" s="1044"/>
      <c r="T31" s="1044"/>
      <c r="U31" s="1044"/>
      <c r="V31" s="1044"/>
      <c r="W31" s="1044"/>
      <c r="X31" s="1044"/>
    </row>
    <row r="32" spans="1:24">
      <c r="A32" s="666"/>
      <c r="B32" s="679" t="s">
        <v>411</v>
      </c>
      <c r="C32" s="1067" t="s">
        <v>1223</v>
      </c>
      <c r="D32" s="1067"/>
      <c r="E32" s="1067"/>
      <c r="F32" s="1067"/>
      <c r="G32" s="1067"/>
      <c r="H32" s="1067"/>
      <c r="I32" s="1067"/>
      <c r="J32" s="1067"/>
      <c r="K32" s="1067"/>
      <c r="L32" s="670"/>
      <c r="M32" s="666"/>
      <c r="N32" s="690"/>
      <c r="O32" s="671" t="s">
        <v>410</v>
      </c>
      <c r="P32" s="1044" t="s">
        <v>1221</v>
      </c>
      <c r="Q32" s="1044"/>
      <c r="R32" s="1044"/>
      <c r="S32" s="1044"/>
      <c r="T32" s="1044"/>
      <c r="U32" s="1044"/>
      <c r="V32" s="1044"/>
      <c r="W32" s="1044"/>
      <c r="X32" s="1044"/>
    </row>
    <row r="33" spans="1:24">
      <c r="A33" s="666"/>
      <c r="B33" s="679" t="s">
        <v>411</v>
      </c>
      <c r="C33" s="1067" t="s">
        <v>1224</v>
      </c>
      <c r="D33" s="1067"/>
      <c r="E33" s="1067"/>
      <c r="F33" s="1067"/>
      <c r="G33" s="1067"/>
      <c r="H33" s="1067"/>
      <c r="I33" s="1067"/>
      <c r="J33" s="1067"/>
      <c r="K33" s="1067"/>
      <c r="L33" s="670"/>
      <c r="M33" s="666"/>
      <c r="N33" s="690"/>
      <c r="O33" s="671" t="s">
        <v>411</v>
      </c>
      <c r="P33" s="1070" t="s">
        <v>1222</v>
      </c>
      <c r="Q33" s="1070"/>
      <c r="R33" s="1070"/>
      <c r="S33" s="1070"/>
      <c r="T33" s="1070"/>
      <c r="U33" s="1070"/>
      <c r="V33" s="1070"/>
      <c r="W33" s="1070"/>
      <c r="X33" s="1070"/>
    </row>
    <row r="34" spans="1:24">
      <c r="A34" s="666"/>
      <c r="B34" s="679" t="s">
        <v>130</v>
      </c>
      <c r="C34" s="1067" t="s">
        <v>1225</v>
      </c>
      <c r="D34" s="1067"/>
      <c r="E34" s="1067"/>
      <c r="F34" s="1067"/>
      <c r="G34" s="1067"/>
      <c r="H34" s="1067"/>
      <c r="I34" s="1067"/>
      <c r="J34" s="1067"/>
      <c r="K34" s="1067"/>
      <c r="L34" s="666"/>
      <c r="M34" s="666"/>
      <c r="N34" s="690"/>
      <c r="O34" s="671" t="s">
        <v>411</v>
      </c>
      <c r="P34" s="1070" t="s">
        <v>1223</v>
      </c>
      <c r="Q34" s="1070"/>
      <c r="R34" s="1070"/>
      <c r="S34" s="1070"/>
      <c r="T34" s="1070"/>
      <c r="U34" s="1070"/>
      <c r="V34" s="1070"/>
      <c r="W34" s="1070"/>
      <c r="X34" s="1070"/>
    </row>
    <row r="35" spans="1:24">
      <c r="A35" s="666"/>
      <c r="B35" s="666"/>
      <c r="C35" s="666"/>
      <c r="D35" s="666"/>
      <c r="E35" s="666"/>
      <c r="F35" s="666"/>
      <c r="G35" s="666"/>
      <c r="H35" s="666"/>
      <c r="I35" s="666"/>
      <c r="J35" s="666"/>
      <c r="K35" s="666"/>
      <c r="L35" s="666"/>
      <c r="M35" s="666"/>
      <c r="N35" s="690"/>
      <c r="O35" s="671" t="s">
        <v>411</v>
      </c>
      <c r="P35" s="1070" t="s">
        <v>1224</v>
      </c>
      <c r="Q35" s="1070"/>
      <c r="R35" s="1070"/>
      <c r="S35" s="1070"/>
      <c r="T35" s="1070"/>
      <c r="U35" s="1070"/>
      <c r="V35" s="1070"/>
      <c r="W35" s="1070"/>
      <c r="X35" s="1070"/>
    </row>
    <row r="36" spans="1:24" ht="16" thickBot="1">
      <c r="A36" s="666"/>
      <c r="B36" s="666"/>
      <c r="C36" s="666"/>
      <c r="D36" s="666"/>
      <c r="E36" s="666"/>
      <c r="F36" s="666"/>
      <c r="G36" s="666"/>
      <c r="H36" s="666"/>
      <c r="I36" s="666"/>
      <c r="J36" s="666"/>
      <c r="K36" s="666"/>
      <c r="L36" s="666"/>
      <c r="M36" s="666"/>
      <c r="N36" s="690"/>
      <c r="O36" s="671" t="s">
        <v>130</v>
      </c>
      <c r="P36" s="1070" t="s">
        <v>1225</v>
      </c>
      <c r="Q36" s="1070"/>
      <c r="R36" s="1070"/>
      <c r="S36" s="1070"/>
      <c r="T36" s="1070"/>
      <c r="U36" s="1070"/>
      <c r="V36" s="1070"/>
      <c r="W36" s="1070"/>
      <c r="X36" s="1070"/>
    </row>
    <row r="37" spans="1:24" ht="17" thickBot="1">
      <c r="A37" s="698" t="s">
        <v>140</v>
      </c>
      <c r="B37" s="672"/>
      <c r="C37" s="673" t="s">
        <v>64</v>
      </c>
      <c r="D37" s="674"/>
      <c r="E37" s="674"/>
      <c r="F37" s="674"/>
      <c r="G37" s="674"/>
      <c r="H37" s="674"/>
      <c r="I37" s="674"/>
      <c r="J37" s="674"/>
      <c r="K37" s="675"/>
      <c r="L37" s="678">
        <v>1</v>
      </c>
      <c r="M37" s="697" t="s">
        <v>409</v>
      </c>
      <c r="N37" s="690"/>
      <c r="O37" s="680"/>
      <c r="P37" s="680"/>
      <c r="Q37" s="680"/>
      <c r="R37" s="680"/>
      <c r="S37" s="680"/>
      <c r="T37" s="680"/>
      <c r="U37" s="680"/>
      <c r="V37" s="680"/>
      <c r="W37" s="680"/>
      <c r="X37" s="680"/>
    </row>
    <row r="38" spans="1:24">
      <c r="A38" s="666"/>
      <c r="B38" s="679" t="s">
        <v>410</v>
      </c>
      <c r="C38" s="1068" t="s">
        <v>1209</v>
      </c>
      <c r="D38" s="1068"/>
      <c r="E38" s="1068"/>
      <c r="F38" s="1068"/>
      <c r="G38" s="1068"/>
      <c r="H38" s="1068"/>
      <c r="I38" s="1068"/>
      <c r="J38" s="1068"/>
      <c r="K38" s="1068"/>
      <c r="L38" s="670"/>
      <c r="M38" s="666"/>
      <c r="N38" s="690"/>
      <c r="O38" s="422" t="s">
        <v>64</v>
      </c>
      <c r="P38" s="680"/>
      <c r="Q38" s="680"/>
      <c r="R38" s="680"/>
      <c r="S38" s="680"/>
      <c r="T38" s="680"/>
      <c r="U38" s="680"/>
      <c r="V38" s="680"/>
      <c r="W38" s="680"/>
      <c r="X38" s="680"/>
    </row>
    <row r="39" spans="1:24">
      <c r="A39" s="666"/>
      <c r="B39" s="679" t="s">
        <v>410</v>
      </c>
      <c r="C39" s="1069" t="s">
        <v>1226</v>
      </c>
      <c r="D39" s="1069"/>
      <c r="E39" s="1069"/>
      <c r="F39" s="1069"/>
      <c r="G39" s="1069"/>
      <c r="H39" s="1069"/>
      <c r="I39" s="1069"/>
      <c r="J39" s="1069"/>
      <c r="K39" s="1069"/>
      <c r="L39" s="670"/>
      <c r="M39" s="666"/>
      <c r="N39" s="690"/>
      <c r="O39" s="671" t="s">
        <v>410</v>
      </c>
      <c r="P39" s="1044" t="s">
        <v>1209</v>
      </c>
      <c r="Q39" s="1044"/>
      <c r="R39" s="1044"/>
      <c r="S39" s="1044"/>
      <c r="T39" s="1044"/>
      <c r="U39" s="1044"/>
      <c r="V39" s="1044"/>
      <c r="W39" s="1044"/>
      <c r="X39" s="1044"/>
    </row>
    <row r="40" spans="1:24">
      <c r="A40" s="666"/>
      <c r="B40" s="679" t="s">
        <v>410</v>
      </c>
      <c r="C40" s="1069" t="s">
        <v>1216</v>
      </c>
      <c r="D40" s="1069"/>
      <c r="E40" s="1069"/>
      <c r="F40" s="1069"/>
      <c r="G40" s="1069"/>
      <c r="H40" s="1069"/>
      <c r="I40" s="1069"/>
      <c r="J40" s="1069"/>
      <c r="K40" s="1069"/>
      <c r="L40" s="670"/>
      <c r="M40" s="666"/>
      <c r="N40" s="690"/>
      <c r="O40" s="671" t="s">
        <v>410</v>
      </c>
      <c r="P40" s="1044" t="s">
        <v>1226</v>
      </c>
      <c r="Q40" s="1044"/>
      <c r="R40" s="1044"/>
      <c r="S40" s="1044"/>
      <c r="T40" s="1044"/>
      <c r="U40" s="1044"/>
      <c r="V40" s="1044"/>
      <c r="W40" s="1044"/>
      <c r="X40" s="1044"/>
    </row>
    <row r="41" spans="1:24">
      <c r="A41" s="666"/>
      <c r="B41" s="679" t="s">
        <v>411</v>
      </c>
      <c r="C41" s="1067" t="s">
        <v>1227</v>
      </c>
      <c r="D41" s="1067"/>
      <c r="E41" s="1067"/>
      <c r="F41" s="1067"/>
      <c r="G41" s="1067"/>
      <c r="H41" s="1067"/>
      <c r="I41" s="1067"/>
      <c r="J41" s="1067"/>
      <c r="K41" s="1067"/>
      <c r="L41" s="670"/>
      <c r="M41" s="666"/>
      <c r="N41" s="690"/>
      <c r="O41" s="671" t="s">
        <v>410</v>
      </c>
      <c r="P41" s="1044" t="s">
        <v>1216</v>
      </c>
      <c r="Q41" s="1044"/>
      <c r="R41" s="1044"/>
      <c r="S41" s="1044"/>
      <c r="T41" s="1044"/>
      <c r="U41" s="1044"/>
      <c r="V41" s="1044"/>
      <c r="W41" s="1044"/>
      <c r="X41" s="1044"/>
    </row>
    <row r="42" spans="1:24">
      <c r="A42" s="666"/>
      <c r="B42" s="679" t="s">
        <v>411</v>
      </c>
      <c r="C42" s="1067" t="s">
        <v>1213</v>
      </c>
      <c r="D42" s="1067"/>
      <c r="E42" s="1067"/>
      <c r="F42" s="1067"/>
      <c r="G42" s="1067"/>
      <c r="H42" s="1067"/>
      <c r="I42" s="1067"/>
      <c r="J42" s="1067"/>
      <c r="K42" s="1067"/>
      <c r="L42" s="670"/>
      <c r="M42" s="666"/>
      <c r="N42" s="690"/>
      <c r="O42" s="671" t="s">
        <v>411</v>
      </c>
      <c r="P42" s="1070" t="s">
        <v>1227</v>
      </c>
      <c r="Q42" s="1070"/>
      <c r="R42" s="1070"/>
      <c r="S42" s="1070"/>
      <c r="T42" s="1070"/>
      <c r="U42" s="1070"/>
      <c r="V42" s="1070"/>
      <c r="W42" s="1070"/>
      <c r="X42" s="1070"/>
    </row>
    <row r="43" spans="1:24">
      <c r="A43" s="666"/>
      <c r="B43" s="679" t="s">
        <v>411</v>
      </c>
      <c r="C43" s="1067" t="s">
        <v>1224</v>
      </c>
      <c r="D43" s="1067"/>
      <c r="E43" s="1067"/>
      <c r="F43" s="1067"/>
      <c r="G43" s="1067"/>
      <c r="H43" s="1067"/>
      <c r="I43" s="1067"/>
      <c r="J43" s="1067"/>
      <c r="K43" s="1067"/>
      <c r="L43" s="670"/>
      <c r="M43" s="666"/>
      <c r="N43" s="690"/>
      <c r="O43" s="671" t="s">
        <v>411</v>
      </c>
      <c r="P43" s="1070" t="s">
        <v>1213</v>
      </c>
      <c r="Q43" s="1070"/>
      <c r="R43" s="1070"/>
      <c r="S43" s="1070"/>
      <c r="T43" s="1070"/>
      <c r="U43" s="1070"/>
      <c r="V43" s="1070"/>
      <c r="W43" s="1070"/>
      <c r="X43" s="1070"/>
    </row>
    <row r="44" spans="1:24">
      <c r="A44" s="666"/>
      <c r="B44" s="679" t="s">
        <v>130</v>
      </c>
      <c r="C44" s="1067" t="s">
        <v>1220</v>
      </c>
      <c r="D44" s="1067"/>
      <c r="E44" s="1067"/>
      <c r="F44" s="1067"/>
      <c r="G44" s="1067"/>
      <c r="H44" s="1067"/>
      <c r="I44" s="1067"/>
      <c r="J44" s="1067"/>
      <c r="K44" s="1067"/>
      <c r="L44" s="666"/>
      <c r="M44" s="666"/>
      <c r="N44" s="690"/>
      <c r="O44" s="671" t="s">
        <v>411</v>
      </c>
      <c r="P44" s="1070" t="s">
        <v>1224</v>
      </c>
      <c r="Q44" s="1070"/>
      <c r="R44" s="1070"/>
      <c r="S44" s="1070"/>
      <c r="T44" s="1070"/>
      <c r="U44" s="1070"/>
      <c r="V44" s="1070"/>
      <c r="W44" s="1070"/>
      <c r="X44" s="1070"/>
    </row>
    <row r="45" spans="1:24">
      <c r="N45" s="690"/>
      <c r="O45" s="671" t="s">
        <v>130</v>
      </c>
      <c r="P45" s="1070" t="s">
        <v>1220</v>
      </c>
      <c r="Q45" s="1070"/>
      <c r="R45" s="1070"/>
      <c r="S45" s="1070"/>
      <c r="T45" s="1070"/>
      <c r="U45" s="1070"/>
      <c r="V45" s="1070"/>
      <c r="W45" s="1070"/>
      <c r="X45" s="1070"/>
    </row>
    <row r="46" spans="1:24">
      <c r="N46" s="690"/>
      <c r="P46" s="666"/>
    </row>
    <row r="47" spans="1:24">
      <c r="N47" s="690"/>
      <c r="P47" s="666"/>
    </row>
    <row r="48" spans="1:24" ht="16">
      <c r="N48" s="690"/>
      <c r="O48" s="448" t="s">
        <v>186</v>
      </c>
      <c r="P48" s="666"/>
    </row>
    <row r="49" spans="14:16">
      <c r="N49" s="690"/>
      <c r="O49" s="712" t="s">
        <v>238</v>
      </c>
      <c r="P49" s="666"/>
    </row>
    <row r="50" spans="14:16">
      <c r="N50" s="690"/>
      <c r="O50" s="713" t="s">
        <v>239</v>
      </c>
      <c r="P50" s="666"/>
    </row>
    <row r="51" spans="14:16">
      <c r="N51" s="690"/>
      <c r="O51" s="713" t="s">
        <v>240</v>
      </c>
      <c r="P51" s="666"/>
    </row>
    <row r="52" spans="14:16">
      <c r="N52" s="690"/>
      <c r="O52" s="713" t="s">
        <v>241</v>
      </c>
      <c r="P52" s="666"/>
    </row>
    <row r="53" spans="14:16">
      <c r="N53" s="690"/>
      <c r="O53" s="703" t="s">
        <v>244</v>
      </c>
    </row>
    <row r="54" spans="14:16">
      <c r="N54" s="690"/>
      <c r="O54" s="682" t="s">
        <v>245</v>
      </c>
    </row>
    <row r="55" spans="14:16">
      <c r="N55" s="690"/>
      <c r="O55" s="682" t="s">
        <v>242</v>
      </c>
    </row>
    <row r="56" spans="14:16">
      <c r="N56" s="690"/>
      <c r="O56" s="667" t="s">
        <v>243</v>
      </c>
    </row>
    <row r="57" spans="14:16">
      <c r="N57" s="690"/>
      <c r="O57" s="686"/>
    </row>
  </sheetData>
  <mergeCells count="55">
    <mergeCell ref="P42:X42"/>
    <mergeCell ref="P43:X43"/>
    <mergeCell ref="P44:X44"/>
    <mergeCell ref="P45:X45"/>
    <mergeCell ref="P34:X34"/>
    <mergeCell ref="P35:X35"/>
    <mergeCell ref="P36:X36"/>
    <mergeCell ref="P39:X39"/>
    <mergeCell ref="P40:X40"/>
    <mergeCell ref="P41:X41"/>
    <mergeCell ref="P33:X33"/>
    <mergeCell ref="P18:X18"/>
    <mergeCell ref="P19:X19"/>
    <mergeCell ref="P22:X22"/>
    <mergeCell ref="P23:X23"/>
    <mergeCell ref="P24:X24"/>
    <mergeCell ref="P25:X25"/>
    <mergeCell ref="P26:X26"/>
    <mergeCell ref="P27:X27"/>
    <mergeCell ref="P28:X28"/>
    <mergeCell ref="P31:X31"/>
    <mergeCell ref="P32:X32"/>
    <mergeCell ref="C41:K41"/>
    <mergeCell ref="C42:K42"/>
    <mergeCell ref="C43:K43"/>
    <mergeCell ref="C44:K44"/>
    <mergeCell ref="O9:V9"/>
    <mergeCell ref="P13:X13"/>
    <mergeCell ref="P14:X14"/>
    <mergeCell ref="P15:X15"/>
    <mergeCell ref="P16:X16"/>
    <mergeCell ref="P17:X17"/>
    <mergeCell ref="C32:K32"/>
    <mergeCell ref="C33:K33"/>
    <mergeCell ref="C34:K34"/>
    <mergeCell ref="C38:K38"/>
    <mergeCell ref="C39:K39"/>
    <mergeCell ref="C40:K40"/>
    <mergeCell ref="C25:K25"/>
    <mergeCell ref="C26:K26"/>
    <mergeCell ref="C29:K29"/>
    <mergeCell ref="C30:K30"/>
    <mergeCell ref="C31:K31"/>
    <mergeCell ref="C24:K24"/>
    <mergeCell ref="C11:K11"/>
    <mergeCell ref="C12:K12"/>
    <mergeCell ref="C13:K13"/>
    <mergeCell ref="C14:K14"/>
    <mergeCell ref="C15:K15"/>
    <mergeCell ref="C16:K16"/>
    <mergeCell ref="C17:K17"/>
    <mergeCell ref="C20:K20"/>
    <mergeCell ref="C21:K21"/>
    <mergeCell ref="C22:K22"/>
    <mergeCell ref="C23:K23"/>
  </mergeCells>
  <dataValidations disablePrompts="1" count="2">
    <dataValidation type="list" allowBlank="1" showInputMessage="1" showErrorMessage="1" sqref="M10 M19 M28 M37" xr:uid="{00000000-0002-0000-0A00-000000000000}">
      <formula1>choix</formula1>
    </dataValidation>
    <dataValidation type="list" allowBlank="1" showInputMessage="1" showErrorMessage="1" sqref="B11:B16 B20:B25 B38:B43 B29:B33 O22:O27 O13:O18 O29:O35 O39:O44" xr:uid="{00000000-0002-0000-0A00-000001000000}">
      <formula1>Choix_capacité</formula1>
    </dataValidation>
  </dataValidations>
  <pageMargins left="0.7" right="0.7" top="0.75" bottom="0.75" header="0.3" footer="0.3"/>
  <pageSetup paperSize="9" scale="28" orientation="portrait" horizontalDpi="4294967293"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tabColor theme="4"/>
  </sheetPr>
  <dimension ref="A3:U65"/>
  <sheetViews>
    <sheetView zoomScale="80" zoomScaleNormal="80" workbookViewId="0">
      <selection activeCell="E8" sqref="E8"/>
    </sheetView>
  </sheetViews>
  <sheetFormatPr baseColWidth="10" defaultRowHeight="15"/>
  <cols>
    <col min="2" max="2" width="13.6640625" customWidth="1"/>
    <col min="3" max="3" width="17.6640625" customWidth="1"/>
    <col min="14" max="14" width="4.33203125" customWidth="1"/>
    <col min="15" max="16" width="13.5" bestFit="1" customWidth="1"/>
  </cols>
  <sheetData>
    <row r="3" spans="1:21" ht="16" thickBot="1"/>
    <row r="4" spans="1:21" ht="19">
      <c r="B4" s="272" t="s">
        <v>102</v>
      </c>
      <c r="C4" s="228" t="s">
        <v>126</v>
      </c>
      <c r="D4" s="229" t="s">
        <v>23</v>
      </c>
      <c r="E4" s="227" t="s">
        <v>22</v>
      </c>
      <c r="G4" s="242"/>
    </row>
    <row r="5" spans="1:21">
      <c r="C5" s="230" t="s">
        <v>55</v>
      </c>
      <c r="D5" s="231">
        <v>4</v>
      </c>
    </row>
    <row r="6" spans="1:21" ht="16" thickBot="1">
      <c r="C6" s="232" t="s">
        <v>62</v>
      </c>
      <c r="D6" s="252">
        <v>58</v>
      </c>
    </row>
    <row r="7" spans="1:21" ht="16" thickBot="1">
      <c r="T7" s="242"/>
    </row>
    <row r="8" spans="1:21" ht="49" thickBot="1">
      <c r="O8" s="320" t="s">
        <v>125</v>
      </c>
      <c r="P8" s="320" t="s">
        <v>408</v>
      </c>
    </row>
    <row r="9" spans="1:21">
      <c r="T9" s="250"/>
      <c r="U9" s="244"/>
    </row>
    <row r="10" spans="1:21">
      <c r="A10" s="244"/>
      <c r="B10" s="227"/>
      <c r="C10" s="244"/>
      <c r="D10" s="244"/>
      <c r="E10" s="244"/>
      <c r="F10" s="244"/>
      <c r="G10" s="244"/>
      <c r="H10" s="244"/>
      <c r="I10" s="244"/>
      <c r="J10" s="244"/>
      <c r="K10" s="244"/>
      <c r="L10" s="244"/>
      <c r="M10" s="244"/>
      <c r="N10" s="244"/>
      <c r="O10" s="244"/>
      <c r="R10" s="293" t="s">
        <v>183</v>
      </c>
      <c r="S10" s="294"/>
      <c r="U10" s="245"/>
    </row>
    <row r="11" spans="1:21">
      <c r="A11" s="371" t="s">
        <v>1136</v>
      </c>
      <c r="B11" s="882"/>
      <c r="C11" s="881"/>
      <c r="D11" s="881"/>
      <c r="E11" s="881"/>
      <c r="F11" s="881"/>
      <c r="G11" s="881"/>
      <c r="H11" s="881"/>
      <c r="I11" s="881"/>
      <c r="J11" s="881"/>
      <c r="K11" s="881"/>
      <c r="L11" s="881"/>
      <c r="M11" s="881"/>
      <c r="N11" s="881"/>
      <c r="O11" s="881"/>
      <c r="P11" s="616"/>
      <c r="R11" s="289"/>
      <c r="U11" s="245"/>
    </row>
    <row r="12" spans="1:21" ht="16" thickBot="1">
      <c r="A12" s="881"/>
      <c r="B12" s="881"/>
      <c r="C12" s="881"/>
      <c r="D12" s="881"/>
      <c r="E12" s="881"/>
      <c r="F12" s="881"/>
      <c r="G12" s="881"/>
      <c r="H12" s="881"/>
      <c r="I12" s="881"/>
      <c r="J12" s="881"/>
      <c r="K12" s="881"/>
      <c r="L12" s="881"/>
      <c r="M12" s="881"/>
      <c r="N12" s="881"/>
      <c r="O12" s="881"/>
      <c r="P12" s="616"/>
      <c r="R12" s="288" t="s">
        <v>176</v>
      </c>
    </row>
    <row r="13" spans="1:21" ht="17" thickBot="1">
      <c r="A13" s="698" t="s">
        <v>127</v>
      </c>
      <c r="B13" s="672"/>
      <c r="C13" s="1038" t="s">
        <v>500</v>
      </c>
      <c r="D13" s="1039"/>
      <c r="E13" s="1039"/>
      <c r="F13" s="1039"/>
      <c r="G13" s="1039"/>
      <c r="H13" s="1039"/>
      <c r="I13" s="1039"/>
      <c r="J13" s="1039"/>
      <c r="K13" s="1039"/>
      <c r="L13" s="1039"/>
      <c r="M13" s="1039"/>
      <c r="N13" s="1040"/>
      <c r="O13" s="678">
        <v>2</v>
      </c>
      <c r="P13" s="453" t="s">
        <v>407</v>
      </c>
      <c r="R13" s="303" t="s">
        <v>202</v>
      </c>
    </row>
    <row r="14" spans="1:21">
      <c r="A14" s="881"/>
      <c r="B14" s="882" t="s">
        <v>410</v>
      </c>
      <c r="C14" s="715"/>
      <c r="D14" s="881"/>
      <c r="E14" s="881"/>
      <c r="F14" s="881"/>
      <c r="G14" s="881"/>
      <c r="H14" s="881"/>
      <c r="I14" s="881"/>
      <c r="J14" s="881"/>
      <c r="K14" s="881"/>
      <c r="L14" s="881"/>
      <c r="M14" s="881"/>
      <c r="N14" s="881"/>
      <c r="O14" s="670"/>
      <c r="P14" s="616"/>
      <c r="R14" s="290" t="s">
        <v>212</v>
      </c>
    </row>
    <row r="15" spans="1:21">
      <c r="A15" s="881"/>
      <c r="B15" s="882" t="s">
        <v>410</v>
      </c>
      <c r="C15" s="715"/>
      <c r="D15" s="881"/>
      <c r="E15" s="881"/>
      <c r="F15" s="881"/>
      <c r="G15" s="881"/>
      <c r="H15" s="881"/>
      <c r="I15" s="881"/>
      <c r="J15" s="881"/>
      <c r="K15" s="881"/>
      <c r="L15" s="881"/>
      <c r="M15" s="881"/>
      <c r="N15" s="881"/>
      <c r="O15" s="670"/>
      <c r="P15" s="881"/>
      <c r="R15" s="290"/>
    </row>
    <row r="16" spans="1:21">
      <c r="A16" s="881"/>
      <c r="B16" s="882" t="s">
        <v>410</v>
      </c>
      <c r="C16" s="881"/>
      <c r="D16" s="881"/>
      <c r="E16" s="881"/>
      <c r="F16" s="881"/>
      <c r="G16" s="881"/>
      <c r="H16" s="881"/>
      <c r="I16" s="881"/>
      <c r="J16" s="881"/>
      <c r="K16" s="881"/>
      <c r="L16" s="881"/>
      <c r="M16" s="881"/>
      <c r="N16" s="881"/>
      <c r="O16" s="881"/>
      <c r="P16" s="881"/>
      <c r="R16" s="288" t="s">
        <v>186</v>
      </c>
    </row>
    <row r="17" spans="1:21">
      <c r="A17" s="881"/>
      <c r="B17" s="882" t="s">
        <v>411</v>
      </c>
      <c r="C17" s="881"/>
      <c r="D17" s="881"/>
      <c r="E17" s="881"/>
      <c r="F17" s="881"/>
      <c r="G17" s="881"/>
      <c r="H17" s="881"/>
      <c r="I17" s="881"/>
      <c r="J17" s="881"/>
      <c r="K17" s="881"/>
      <c r="L17" s="881"/>
      <c r="M17" s="881"/>
      <c r="N17" s="881"/>
      <c r="O17" s="881"/>
      <c r="P17" s="881"/>
      <c r="R17" s="289" t="s">
        <v>246</v>
      </c>
      <c r="T17" s="243"/>
      <c r="U17" s="245"/>
    </row>
    <row r="18" spans="1:21">
      <c r="A18" s="881"/>
      <c r="B18" s="882" t="s">
        <v>411</v>
      </c>
      <c r="C18" s="881"/>
      <c r="D18" s="881"/>
      <c r="E18" s="881"/>
      <c r="F18" s="881"/>
      <c r="G18" s="881"/>
      <c r="H18" s="881"/>
      <c r="I18" s="881"/>
      <c r="J18" s="881"/>
      <c r="K18" s="881"/>
      <c r="L18" s="881"/>
      <c r="M18" s="881"/>
      <c r="N18" s="881"/>
      <c r="O18" s="881"/>
      <c r="P18" s="881"/>
      <c r="R18" s="289" t="s">
        <v>247</v>
      </c>
      <c r="T18" s="244"/>
      <c r="U18" s="246"/>
    </row>
    <row r="19" spans="1:21">
      <c r="A19" s="881"/>
      <c r="B19" s="882" t="s">
        <v>411</v>
      </c>
      <c r="C19" s="881"/>
      <c r="D19" s="881"/>
      <c r="E19" s="881"/>
      <c r="F19" s="881"/>
      <c r="G19" s="881"/>
      <c r="H19" s="881"/>
      <c r="I19" s="881"/>
      <c r="J19" s="881"/>
      <c r="K19" s="881"/>
      <c r="L19" s="881"/>
      <c r="M19" s="881"/>
      <c r="N19" s="881"/>
      <c r="O19" s="881"/>
      <c r="P19" s="881"/>
      <c r="R19" s="289" t="s">
        <v>248</v>
      </c>
      <c r="T19" s="250"/>
      <c r="U19" s="244"/>
    </row>
    <row r="20" spans="1:21">
      <c r="A20" s="881"/>
      <c r="B20" s="882" t="s">
        <v>130</v>
      </c>
      <c r="C20" s="881"/>
      <c r="D20" s="881"/>
      <c r="E20" s="881"/>
      <c r="F20" s="881"/>
      <c r="G20" s="881"/>
      <c r="H20" s="881"/>
      <c r="I20" s="881"/>
      <c r="J20" s="881"/>
      <c r="K20" s="881"/>
      <c r="L20" s="881"/>
      <c r="M20" s="881"/>
      <c r="N20" s="881"/>
      <c r="O20" s="881"/>
      <c r="P20" s="881"/>
      <c r="T20" s="243"/>
      <c r="U20" s="245"/>
    </row>
    <row r="21" spans="1:21" ht="16" thickBot="1">
      <c r="A21" s="881"/>
      <c r="B21" s="881"/>
      <c r="C21" s="881"/>
      <c r="D21" s="881"/>
      <c r="E21" s="881"/>
      <c r="F21" s="881"/>
      <c r="G21" s="881"/>
      <c r="H21" s="881"/>
      <c r="I21" s="881"/>
      <c r="J21" s="881"/>
      <c r="K21" s="881"/>
      <c r="L21" s="881"/>
      <c r="M21" s="881"/>
      <c r="N21" s="881"/>
      <c r="O21" s="881"/>
      <c r="P21" s="881"/>
      <c r="T21" s="243"/>
      <c r="U21" s="245"/>
    </row>
    <row r="22" spans="1:21" ht="17" thickBot="1">
      <c r="A22" s="698" t="s">
        <v>128</v>
      </c>
      <c r="B22" s="672"/>
      <c r="C22" s="1038" t="s">
        <v>503</v>
      </c>
      <c r="D22" s="1039"/>
      <c r="E22" s="1039"/>
      <c r="F22" s="1039"/>
      <c r="G22" s="1039"/>
      <c r="H22" s="1039"/>
      <c r="I22" s="1039"/>
      <c r="J22" s="1039"/>
      <c r="K22" s="1039"/>
      <c r="L22" s="1039"/>
      <c r="M22" s="1039"/>
      <c r="N22" s="1039"/>
      <c r="O22" s="453">
        <v>2</v>
      </c>
      <c r="P22" s="625" t="s">
        <v>407</v>
      </c>
      <c r="T22" s="243"/>
      <c r="U22" s="247"/>
    </row>
    <row r="23" spans="1:21">
      <c r="A23" s="881"/>
      <c r="B23" s="882" t="s">
        <v>410</v>
      </c>
      <c r="C23" s="715"/>
      <c r="D23" s="881"/>
      <c r="E23" s="881"/>
      <c r="F23" s="881"/>
      <c r="G23" s="881"/>
      <c r="H23" s="881"/>
      <c r="I23" s="881"/>
      <c r="J23" s="881"/>
      <c r="K23" s="881"/>
      <c r="L23" s="881"/>
      <c r="M23" s="881"/>
      <c r="N23" s="881"/>
      <c r="O23" s="616"/>
      <c r="P23" s="616"/>
      <c r="T23" s="243"/>
      <c r="U23" s="247"/>
    </row>
    <row r="24" spans="1:21">
      <c r="A24" s="881"/>
      <c r="B24" s="882" t="s">
        <v>410</v>
      </c>
      <c r="C24" s="715"/>
      <c r="D24" s="881"/>
      <c r="E24" s="881"/>
      <c r="F24" s="881"/>
      <c r="G24" s="881"/>
      <c r="H24" s="881"/>
      <c r="I24" s="881"/>
      <c r="J24" s="881"/>
      <c r="K24" s="881"/>
      <c r="L24" s="881"/>
      <c r="M24" s="881"/>
      <c r="N24" s="881"/>
      <c r="O24" s="616"/>
      <c r="P24" s="616"/>
      <c r="T24" s="243"/>
      <c r="U24" s="249"/>
    </row>
    <row r="25" spans="1:21">
      <c r="A25" s="881"/>
      <c r="B25" s="882" t="s">
        <v>410</v>
      </c>
      <c r="C25" s="881"/>
      <c r="D25" s="881"/>
      <c r="E25" s="881"/>
      <c r="F25" s="881"/>
      <c r="G25" s="881"/>
      <c r="H25" s="881"/>
      <c r="I25" s="881"/>
      <c r="J25" s="881"/>
      <c r="K25" s="881"/>
      <c r="L25" s="881"/>
      <c r="M25" s="881"/>
      <c r="N25" s="881"/>
      <c r="O25" s="616"/>
      <c r="P25" s="616"/>
      <c r="T25" s="250"/>
      <c r="U25" s="244"/>
    </row>
    <row r="26" spans="1:21">
      <c r="A26" s="881"/>
      <c r="B26" s="882" t="s">
        <v>411</v>
      </c>
      <c r="C26" s="881"/>
      <c r="D26" s="881"/>
      <c r="E26" s="881"/>
      <c r="F26" s="881"/>
      <c r="G26" s="881"/>
      <c r="H26" s="881"/>
      <c r="I26" s="881"/>
      <c r="J26" s="881"/>
      <c r="K26" s="881"/>
      <c r="L26" s="881"/>
      <c r="M26" s="881"/>
      <c r="N26" s="881"/>
      <c r="O26" s="616"/>
      <c r="P26" s="616"/>
      <c r="T26" s="243"/>
      <c r="U26" s="249"/>
    </row>
    <row r="27" spans="1:21">
      <c r="A27" s="881"/>
      <c r="B27" s="882" t="s">
        <v>411</v>
      </c>
      <c r="C27" s="881"/>
      <c r="D27" s="881"/>
      <c r="E27" s="881"/>
      <c r="F27" s="881"/>
      <c r="G27" s="881"/>
      <c r="H27" s="881"/>
      <c r="I27" s="881"/>
      <c r="J27" s="881"/>
      <c r="K27" s="881"/>
      <c r="L27" s="881"/>
      <c r="M27" s="881"/>
      <c r="N27" s="881"/>
      <c r="O27" s="616"/>
      <c r="P27" s="616"/>
      <c r="T27" s="243"/>
      <c r="U27" s="249"/>
    </row>
    <row r="28" spans="1:21">
      <c r="A28" s="881"/>
      <c r="B28" s="882" t="s">
        <v>411</v>
      </c>
      <c r="C28" s="881"/>
      <c r="D28" s="881"/>
      <c r="E28" s="881"/>
      <c r="F28" s="881"/>
      <c r="G28" s="881"/>
      <c r="H28" s="881"/>
      <c r="I28" s="881"/>
      <c r="J28" s="881"/>
      <c r="K28" s="881"/>
      <c r="L28" s="881"/>
      <c r="M28" s="881"/>
      <c r="N28" s="881"/>
      <c r="O28" s="616"/>
      <c r="P28" s="616"/>
      <c r="T28" s="243"/>
      <c r="U28" s="249"/>
    </row>
    <row r="29" spans="1:21">
      <c r="A29" s="881"/>
      <c r="B29" s="882" t="s">
        <v>130</v>
      </c>
      <c r="C29" s="881"/>
      <c r="D29" s="881"/>
      <c r="E29" s="881"/>
      <c r="F29" s="881"/>
      <c r="G29" s="881"/>
      <c r="H29" s="881"/>
      <c r="I29" s="881"/>
      <c r="J29" s="881"/>
      <c r="K29" s="881"/>
      <c r="L29" s="881"/>
      <c r="M29" s="881"/>
      <c r="N29" s="881"/>
      <c r="O29" s="616"/>
      <c r="P29" s="616"/>
      <c r="T29" s="243"/>
      <c r="U29" s="249"/>
    </row>
    <row r="30" spans="1:21" ht="16" thickBot="1">
      <c r="A30" s="680"/>
      <c r="B30" s="671"/>
      <c r="C30" s="680"/>
      <c r="D30" s="680"/>
      <c r="E30" s="680"/>
      <c r="F30" s="680"/>
      <c r="G30" s="680"/>
      <c r="H30" s="680"/>
      <c r="I30" s="680"/>
      <c r="J30" s="680"/>
      <c r="K30" s="680"/>
      <c r="L30" s="680"/>
      <c r="M30" s="680"/>
      <c r="N30" s="680"/>
      <c r="O30" s="680"/>
      <c r="P30" s="881"/>
      <c r="T30" s="243"/>
      <c r="U30" s="249"/>
    </row>
    <row r="31" spans="1:21" ht="17" thickBot="1">
      <c r="A31" s="698" t="s">
        <v>129</v>
      </c>
      <c r="B31" s="672"/>
      <c r="C31" s="1038" t="s">
        <v>504</v>
      </c>
      <c r="D31" s="1039"/>
      <c r="E31" s="1039"/>
      <c r="F31" s="1039"/>
      <c r="G31" s="1039"/>
      <c r="H31" s="1039"/>
      <c r="I31" s="1039"/>
      <c r="J31" s="1039"/>
      <c r="K31" s="1039"/>
      <c r="L31" s="1039"/>
      <c r="M31" s="1039"/>
      <c r="N31" s="1039"/>
      <c r="O31" s="453">
        <v>2</v>
      </c>
      <c r="P31" s="625" t="s">
        <v>407</v>
      </c>
      <c r="T31" s="243"/>
      <c r="U31" s="249"/>
    </row>
    <row r="32" spans="1:21">
      <c r="A32" s="881"/>
      <c r="B32" s="882" t="s">
        <v>410</v>
      </c>
      <c r="C32" s="715"/>
      <c r="D32" s="881"/>
      <c r="E32" s="881"/>
      <c r="F32" s="881"/>
      <c r="G32" s="881"/>
      <c r="H32" s="881"/>
      <c r="I32" s="881"/>
      <c r="J32" s="881"/>
      <c r="K32" s="881"/>
      <c r="L32" s="881"/>
      <c r="M32" s="881"/>
      <c r="N32" s="881"/>
      <c r="O32" s="616"/>
      <c r="P32" s="616"/>
      <c r="T32" s="244"/>
      <c r="U32" s="249"/>
    </row>
    <row r="33" spans="1:16">
      <c r="A33" s="881"/>
      <c r="B33" s="882" t="s">
        <v>410</v>
      </c>
      <c r="C33" s="715"/>
      <c r="D33" s="881"/>
      <c r="E33" s="881"/>
      <c r="F33" s="881"/>
      <c r="G33" s="881"/>
      <c r="H33" s="881"/>
      <c r="I33" s="881"/>
      <c r="J33" s="881"/>
      <c r="K33" s="881"/>
      <c r="L33" s="881"/>
      <c r="M33" s="881"/>
      <c r="N33" s="881"/>
      <c r="O33" s="616"/>
      <c r="P33" s="616"/>
    </row>
    <row r="34" spans="1:16">
      <c r="A34" s="881"/>
      <c r="B34" s="882" t="s">
        <v>410</v>
      </c>
      <c r="C34" s="881"/>
      <c r="D34" s="881"/>
      <c r="E34" s="881"/>
      <c r="F34" s="881"/>
      <c r="G34" s="881"/>
      <c r="H34" s="881"/>
      <c r="I34" s="881"/>
      <c r="J34" s="881"/>
      <c r="K34" s="881"/>
      <c r="L34" s="881"/>
      <c r="M34" s="881"/>
      <c r="N34" s="881"/>
      <c r="O34" s="616"/>
      <c r="P34" s="616"/>
    </row>
    <row r="35" spans="1:16">
      <c r="A35" s="881"/>
      <c r="B35" s="882" t="s">
        <v>411</v>
      </c>
      <c r="C35" s="881"/>
      <c r="D35" s="881"/>
      <c r="E35" s="881"/>
      <c r="F35" s="881"/>
      <c r="G35" s="881"/>
      <c r="H35" s="881"/>
      <c r="I35" s="881"/>
      <c r="J35" s="881"/>
      <c r="K35" s="881"/>
      <c r="L35" s="881"/>
      <c r="M35" s="881"/>
      <c r="N35" s="881"/>
      <c r="O35" s="616"/>
      <c r="P35" s="616"/>
    </row>
    <row r="36" spans="1:16">
      <c r="A36" s="881"/>
      <c r="B36" s="882" t="s">
        <v>411</v>
      </c>
      <c r="C36" s="881"/>
      <c r="D36" s="881"/>
      <c r="E36" s="881"/>
      <c r="F36" s="881"/>
      <c r="G36" s="881"/>
      <c r="H36" s="881"/>
      <c r="I36" s="881"/>
      <c r="J36" s="881"/>
      <c r="K36" s="881"/>
      <c r="L36" s="881"/>
      <c r="M36" s="881"/>
      <c r="N36" s="881"/>
      <c r="O36" s="616"/>
      <c r="P36" s="616"/>
    </row>
    <row r="37" spans="1:16">
      <c r="A37" s="881"/>
      <c r="B37" s="882" t="s">
        <v>411</v>
      </c>
      <c r="C37" s="881"/>
      <c r="D37" s="881"/>
      <c r="E37" s="881"/>
      <c r="F37" s="881"/>
      <c r="G37" s="881"/>
      <c r="H37" s="881"/>
      <c r="I37" s="881"/>
      <c r="J37" s="881"/>
      <c r="K37" s="881"/>
      <c r="L37" s="881"/>
      <c r="M37" s="881"/>
      <c r="N37" s="881"/>
      <c r="O37" s="616"/>
      <c r="P37" s="616"/>
    </row>
    <row r="38" spans="1:16">
      <c r="A38" s="881"/>
      <c r="B38" s="882" t="s">
        <v>130</v>
      </c>
      <c r="C38" s="881"/>
      <c r="D38" s="881"/>
      <c r="E38" s="881"/>
      <c r="F38" s="881"/>
      <c r="G38" s="881"/>
      <c r="H38" s="881"/>
      <c r="I38" s="881"/>
      <c r="J38" s="881"/>
      <c r="K38" s="881"/>
      <c r="L38" s="881"/>
      <c r="M38" s="881"/>
      <c r="N38" s="881"/>
      <c r="O38" s="616"/>
      <c r="P38" s="616"/>
    </row>
    <row r="39" spans="1:16">
      <c r="A39" s="680"/>
      <c r="B39" s="680"/>
      <c r="C39" s="680"/>
      <c r="D39" s="680"/>
      <c r="E39" s="680"/>
      <c r="F39" s="680"/>
      <c r="G39" s="680"/>
      <c r="H39" s="680"/>
      <c r="I39" s="680"/>
      <c r="J39" s="680"/>
      <c r="K39" s="680"/>
      <c r="L39" s="680"/>
      <c r="M39" s="680"/>
      <c r="N39" s="680"/>
      <c r="O39" s="680"/>
      <c r="P39" s="881"/>
    </row>
    <row r="40" spans="1:16">
      <c r="A40" s="371" t="s">
        <v>1390</v>
      </c>
      <c r="B40" s="680"/>
      <c r="C40" s="680"/>
      <c r="D40" s="680"/>
      <c r="E40" s="680"/>
      <c r="F40" s="680"/>
      <c r="G40" s="680"/>
      <c r="H40" s="680"/>
      <c r="I40" s="680"/>
      <c r="J40" s="680"/>
      <c r="K40" s="680"/>
      <c r="L40" s="680"/>
      <c r="M40" s="680"/>
      <c r="N40" s="680"/>
      <c r="O40" s="680"/>
      <c r="P40" s="881"/>
    </row>
    <row r="41" spans="1:16" ht="16" thickBot="1">
      <c r="A41" s="881"/>
      <c r="B41" s="881"/>
      <c r="C41" s="881"/>
      <c r="D41" s="881"/>
      <c r="E41" s="881"/>
      <c r="F41" s="881"/>
      <c r="G41" s="881"/>
      <c r="H41" s="881"/>
      <c r="I41" s="881"/>
      <c r="J41" s="881"/>
      <c r="K41" s="881"/>
      <c r="L41" s="881"/>
      <c r="M41" s="881"/>
      <c r="N41" s="881"/>
      <c r="O41" s="881"/>
      <c r="P41" s="881"/>
    </row>
    <row r="42" spans="1:16" ht="17" thickBot="1">
      <c r="A42" s="698" t="s">
        <v>127</v>
      </c>
      <c r="B42" s="672"/>
      <c r="C42" s="878" t="s">
        <v>124</v>
      </c>
      <c r="D42" s="879"/>
      <c r="E42" s="879"/>
      <c r="F42" s="879"/>
      <c r="G42" s="879"/>
      <c r="H42" s="879"/>
      <c r="I42" s="879"/>
      <c r="J42" s="879"/>
      <c r="K42" s="880"/>
      <c r="L42" s="676"/>
      <c r="M42" s="676"/>
      <c r="N42" s="677"/>
      <c r="O42" s="678">
        <v>3</v>
      </c>
      <c r="P42" s="697" t="s">
        <v>407</v>
      </c>
    </row>
    <row r="43" spans="1:16">
      <c r="A43" s="881"/>
      <c r="B43" s="882" t="s">
        <v>410</v>
      </c>
      <c r="C43" s="883"/>
      <c r="D43" s="881"/>
      <c r="E43" s="881"/>
      <c r="F43" s="881"/>
      <c r="G43" s="881"/>
      <c r="H43" s="881"/>
      <c r="I43" s="881"/>
      <c r="J43" s="881"/>
      <c r="K43" s="881"/>
      <c r="L43" s="881"/>
      <c r="M43" s="881"/>
      <c r="N43" s="881"/>
      <c r="O43" s="670"/>
      <c r="P43" s="881"/>
    </row>
    <row r="44" spans="1:16">
      <c r="A44" s="881"/>
      <c r="B44" s="882" t="s">
        <v>410</v>
      </c>
      <c r="C44" s="883"/>
      <c r="D44" s="881"/>
      <c r="E44" s="881"/>
      <c r="F44" s="881"/>
      <c r="G44" s="881"/>
      <c r="H44" s="881"/>
      <c r="I44" s="881"/>
      <c r="J44" s="881"/>
      <c r="K44" s="881"/>
      <c r="L44" s="881"/>
      <c r="M44" s="881"/>
      <c r="N44" s="881"/>
      <c r="O44" s="670"/>
      <c r="P44" s="881"/>
    </row>
    <row r="45" spans="1:16">
      <c r="A45" s="881"/>
      <c r="B45" s="882" t="s">
        <v>410</v>
      </c>
      <c r="C45" s="883"/>
      <c r="D45" s="881"/>
      <c r="E45" s="881"/>
      <c r="F45" s="881"/>
      <c r="G45" s="881"/>
      <c r="H45" s="881"/>
      <c r="I45" s="881"/>
      <c r="J45" s="881"/>
      <c r="K45" s="881"/>
      <c r="L45" s="881"/>
      <c r="M45" s="881"/>
      <c r="N45" s="881"/>
      <c r="O45" s="670"/>
      <c r="P45" s="881"/>
    </row>
    <row r="46" spans="1:16">
      <c r="A46" s="881"/>
      <c r="B46" s="882" t="s">
        <v>411</v>
      </c>
      <c r="C46" s="883"/>
      <c r="D46" s="881"/>
      <c r="E46" s="881"/>
      <c r="F46" s="881"/>
      <c r="G46" s="881"/>
      <c r="H46" s="881"/>
      <c r="I46" s="881"/>
      <c r="J46" s="881"/>
      <c r="K46" s="881"/>
      <c r="L46" s="881"/>
      <c r="M46" s="881"/>
      <c r="N46" s="881"/>
      <c r="O46" s="670"/>
      <c r="P46" s="881"/>
    </row>
    <row r="47" spans="1:16">
      <c r="A47" s="881"/>
      <c r="B47" s="882" t="s">
        <v>411</v>
      </c>
      <c r="C47" s="881"/>
      <c r="D47" s="881"/>
      <c r="E47" s="881"/>
      <c r="F47" s="881"/>
      <c r="G47" s="881"/>
      <c r="H47" s="881"/>
      <c r="I47" s="881"/>
      <c r="J47" s="881"/>
      <c r="K47" s="881"/>
      <c r="L47" s="881"/>
      <c r="M47" s="881"/>
      <c r="N47" s="881"/>
      <c r="O47" s="670"/>
      <c r="P47" s="881"/>
    </row>
    <row r="48" spans="1:16">
      <c r="A48" s="881"/>
      <c r="B48" s="882" t="s">
        <v>411</v>
      </c>
      <c r="C48" s="881"/>
      <c r="D48" s="881"/>
      <c r="E48" s="881"/>
      <c r="F48" s="881"/>
      <c r="G48" s="881"/>
      <c r="H48" s="881"/>
      <c r="I48" s="881"/>
      <c r="J48" s="881"/>
      <c r="K48" s="881"/>
      <c r="L48" s="881"/>
      <c r="M48" s="881"/>
      <c r="N48" s="881"/>
      <c r="O48" s="670"/>
      <c r="P48" s="881"/>
    </row>
    <row r="49" spans="1:16">
      <c r="A49" s="881"/>
      <c r="B49" s="882" t="s">
        <v>130</v>
      </c>
      <c r="C49" s="881"/>
      <c r="D49" s="881"/>
      <c r="E49" s="881"/>
      <c r="F49" s="881"/>
      <c r="G49" s="881"/>
      <c r="H49" s="881"/>
      <c r="I49" s="881"/>
      <c r="J49" s="881"/>
      <c r="K49" s="881"/>
      <c r="L49" s="881"/>
      <c r="M49" s="881"/>
      <c r="N49" s="881"/>
      <c r="O49" s="670"/>
      <c r="P49" s="881"/>
    </row>
    <row r="50" spans="1:16" ht="16" thickBot="1">
      <c r="A50" s="881"/>
      <c r="B50" s="881"/>
      <c r="C50" s="881"/>
      <c r="D50" s="881"/>
      <c r="E50" s="881"/>
      <c r="F50" s="881"/>
      <c r="G50" s="881"/>
      <c r="H50" s="881"/>
      <c r="I50" s="881"/>
      <c r="J50" s="881"/>
      <c r="K50" s="881"/>
      <c r="L50" s="881"/>
      <c r="M50" s="881"/>
      <c r="N50" s="881"/>
      <c r="O50" s="670"/>
      <c r="P50" s="881"/>
    </row>
    <row r="51" spans="1:16" ht="17" thickBot="1">
      <c r="A51" s="698" t="s">
        <v>128</v>
      </c>
      <c r="B51" s="672"/>
      <c r="C51" s="1038" t="s">
        <v>71</v>
      </c>
      <c r="D51" s="1039"/>
      <c r="E51" s="1039"/>
      <c r="F51" s="1039"/>
      <c r="G51" s="1039"/>
      <c r="H51" s="1039"/>
      <c r="I51" s="1039"/>
      <c r="J51" s="1039"/>
      <c r="K51" s="1039"/>
      <c r="L51" s="1039"/>
      <c r="M51" s="1039"/>
      <c r="N51" s="1040"/>
      <c r="O51" s="678">
        <v>1</v>
      </c>
      <c r="P51" s="697" t="s">
        <v>407</v>
      </c>
    </row>
    <row r="52" spans="1:16">
      <c r="A52" s="881"/>
      <c r="B52" s="882" t="s">
        <v>410</v>
      </c>
      <c r="C52" s="881"/>
      <c r="D52" s="881"/>
      <c r="E52" s="881"/>
      <c r="F52" s="881"/>
      <c r="G52" s="881"/>
      <c r="H52" s="881"/>
      <c r="I52" s="881"/>
      <c r="J52" s="881"/>
      <c r="K52" s="881"/>
      <c r="L52" s="881"/>
      <c r="M52" s="881"/>
      <c r="N52" s="881"/>
      <c r="O52" s="670"/>
      <c r="P52" s="881"/>
    </row>
    <row r="53" spans="1:16">
      <c r="A53" s="881"/>
      <c r="B53" s="882" t="s">
        <v>410</v>
      </c>
      <c r="C53" s="881"/>
      <c r="D53" s="881"/>
      <c r="E53" s="881"/>
      <c r="F53" s="881"/>
      <c r="G53" s="881"/>
      <c r="H53" s="881"/>
      <c r="I53" s="881"/>
      <c r="J53" s="881"/>
      <c r="K53" s="881"/>
      <c r="L53" s="881"/>
      <c r="M53" s="881"/>
      <c r="N53" s="881"/>
      <c r="O53" s="670"/>
      <c r="P53" s="881"/>
    </row>
    <row r="54" spans="1:16">
      <c r="A54" s="881"/>
      <c r="B54" s="882" t="s">
        <v>410</v>
      </c>
      <c r="C54" s="881"/>
      <c r="D54" s="881"/>
      <c r="E54" s="881"/>
      <c r="F54" s="881"/>
      <c r="G54" s="881"/>
      <c r="H54" s="881"/>
      <c r="I54" s="881"/>
      <c r="J54" s="881"/>
      <c r="K54" s="881"/>
      <c r="L54" s="881"/>
      <c r="M54" s="881"/>
      <c r="N54" s="881"/>
      <c r="O54" s="881"/>
      <c r="P54" s="881"/>
    </row>
    <row r="55" spans="1:16">
      <c r="A55" s="881"/>
      <c r="B55" s="882" t="s">
        <v>411</v>
      </c>
      <c r="C55" s="881"/>
      <c r="D55" s="881"/>
      <c r="E55" s="881"/>
      <c r="F55" s="881"/>
      <c r="G55" s="881"/>
      <c r="H55" s="881"/>
      <c r="I55" s="881"/>
      <c r="J55" s="881"/>
      <c r="K55" s="881"/>
      <c r="L55" s="881"/>
      <c r="M55" s="881"/>
      <c r="N55" s="881"/>
      <c r="O55" s="881"/>
      <c r="P55" s="881"/>
    </row>
    <row r="56" spans="1:16">
      <c r="A56" s="881"/>
      <c r="B56" s="882" t="s">
        <v>411</v>
      </c>
      <c r="C56" s="881"/>
      <c r="D56" s="881"/>
      <c r="E56" s="881"/>
      <c r="F56" s="881"/>
      <c r="G56" s="881"/>
      <c r="H56" s="881"/>
      <c r="I56" s="881"/>
      <c r="J56" s="881"/>
      <c r="K56" s="881"/>
      <c r="L56" s="881"/>
      <c r="M56" s="881"/>
      <c r="N56" s="881"/>
      <c r="O56" s="881"/>
      <c r="P56" s="881"/>
    </row>
    <row r="57" spans="1:16">
      <c r="A57" s="881"/>
      <c r="B57" s="882" t="s">
        <v>411</v>
      </c>
      <c r="C57" s="881"/>
      <c r="D57" s="881"/>
      <c r="E57" s="881"/>
      <c r="F57" s="881"/>
      <c r="G57" s="881"/>
      <c r="H57" s="881"/>
      <c r="I57" s="881"/>
      <c r="J57" s="881"/>
      <c r="K57" s="881"/>
      <c r="L57" s="881"/>
      <c r="M57" s="881"/>
      <c r="N57" s="881"/>
      <c r="O57" s="881"/>
      <c r="P57" s="881"/>
    </row>
    <row r="58" spans="1:16">
      <c r="A58" s="881"/>
      <c r="B58" s="882" t="s">
        <v>130</v>
      </c>
      <c r="C58" s="881"/>
      <c r="D58" s="881"/>
      <c r="E58" s="881"/>
      <c r="F58" s="881"/>
      <c r="G58" s="881"/>
      <c r="H58" s="881"/>
      <c r="I58" s="881"/>
      <c r="J58" s="881"/>
      <c r="K58" s="881"/>
      <c r="L58" s="881"/>
      <c r="M58" s="881"/>
      <c r="N58" s="881"/>
      <c r="O58" s="881"/>
      <c r="P58" s="881"/>
    </row>
    <row r="59" spans="1:16">
      <c r="A59" s="244"/>
      <c r="B59" s="227"/>
      <c r="C59" s="244"/>
      <c r="D59" s="244"/>
      <c r="E59" s="244"/>
      <c r="F59" s="244"/>
      <c r="G59" s="244"/>
      <c r="H59" s="244"/>
      <c r="I59" s="244"/>
      <c r="J59" s="244"/>
      <c r="K59" s="244"/>
      <c r="L59" s="244"/>
      <c r="M59" s="244"/>
      <c r="N59" s="244"/>
      <c r="O59" s="244"/>
    </row>
    <row r="60" spans="1:16">
      <c r="A60" s="244"/>
      <c r="B60" s="244"/>
      <c r="C60" s="244"/>
      <c r="D60" s="244"/>
      <c r="E60" s="244"/>
      <c r="F60" s="244"/>
      <c r="G60" s="244"/>
      <c r="H60" s="244"/>
      <c r="I60" s="244"/>
      <c r="J60" s="244"/>
      <c r="K60" s="244"/>
      <c r="L60" s="244"/>
      <c r="M60" s="244"/>
      <c r="N60" s="244"/>
      <c r="O60" s="244"/>
    </row>
    <row r="61" spans="1:16">
      <c r="A61" s="244"/>
      <c r="B61" s="244"/>
      <c r="C61" s="244"/>
      <c r="D61" s="244"/>
      <c r="E61" s="244"/>
      <c r="F61" s="244"/>
      <c r="G61" s="244"/>
      <c r="H61" s="244"/>
      <c r="I61" s="244"/>
      <c r="J61" s="244"/>
      <c r="K61" s="244"/>
      <c r="L61" s="244"/>
      <c r="M61" s="244"/>
      <c r="N61" s="244"/>
      <c r="O61" s="244"/>
    </row>
    <row r="62" spans="1:16">
      <c r="A62" s="244"/>
      <c r="B62" s="244"/>
      <c r="C62" s="244"/>
      <c r="D62" s="244"/>
      <c r="E62" s="244"/>
      <c r="F62" s="244"/>
      <c r="G62" s="244"/>
      <c r="H62" s="244"/>
      <c r="I62" s="244"/>
      <c r="J62" s="244"/>
      <c r="K62" s="244"/>
      <c r="L62" s="244"/>
      <c r="M62" s="244"/>
      <c r="N62" s="244"/>
      <c r="O62" s="244"/>
    </row>
    <row r="63" spans="1:16">
      <c r="A63" s="244"/>
      <c r="B63" s="244"/>
      <c r="C63" s="244"/>
      <c r="D63" s="244"/>
      <c r="E63" s="244"/>
      <c r="F63" s="244"/>
      <c r="G63" s="244"/>
      <c r="H63" s="244"/>
      <c r="I63" s="244"/>
      <c r="J63" s="244"/>
      <c r="K63" s="244"/>
      <c r="L63" s="244"/>
      <c r="M63" s="244"/>
      <c r="N63" s="244"/>
      <c r="O63" s="244"/>
    </row>
    <row r="64" spans="1:16">
      <c r="A64" s="244"/>
      <c r="B64" s="244"/>
      <c r="C64" s="244"/>
      <c r="D64" s="244"/>
      <c r="E64" s="257"/>
      <c r="F64" s="257"/>
      <c r="G64" s="257"/>
      <c r="H64" s="257"/>
      <c r="I64" s="244"/>
      <c r="J64" s="244"/>
      <c r="K64" s="244"/>
      <c r="L64" s="244"/>
      <c r="M64" s="244"/>
      <c r="N64" s="244"/>
      <c r="O64" s="244"/>
    </row>
    <row r="65" spans="1:15">
      <c r="A65" s="244"/>
      <c r="B65" s="244"/>
      <c r="C65" s="244"/>
      <c r="D65" s="244"/>
      <c r="E65" s="244"/>
      <c r="F65" s="244"/>
      <c r="G65" s="244"/>
      <c r="H65" s="244"/>
      <c r="I65" s="244"/>
      <c r="J65" s="244"/>
      <c r="K65" s="244"/>
      <c r="L65" s="244"/>
      <c r="M65" s="244"/>
      <c r="N65" s="244"/>
      <c r="O65" s="244"/>
    </row>
  </sheetData>
  <mergeCells count="4">
    <mergeCell ref="C13:N13"/>
    <mergeCell ref="C22:N22"/>
    <mergeCell ref="C31:N31"/>
    <mergeCell ref="C51:N51"/>
  </mergeCells>
  <dataValidations count="2">
    <dataValidation type="list" allowBlank="1" showInputMessage="1" showErrorMessage="1" sqref="P42 P51 P12" xr:uid="{00000000-0002-0000-0B00-000000000000}">
      <formula1>choix</formula1>
    </dataValidation>
    <dataValidation type="list" allowBlank="1" showInputMessage="1" showErrorMessage="1" sqref="B43:B48 B52:B57 B13:B19 B23:B28 B32:B37" xr:uid="{00000000-0002-0000-0B00-000001000000}">
      <formula1>Choix_capacité</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3">
    <tabColor theme="5"/>
    <pageSetUpPr fitToPage="1"/>
  </sheetPr>
  <dimension ref="A3:AC67"/>
  <sheetViews>
    <sheetView topLeftCell="A26" zoomScale="80" zoomScaleNormal="80" workbookViewId="0">
      <selection activeCell="P5" sqref="P5:Y67"/>
    </sheetView>
  </sheetViews>
  <sheetFormatPr baseColWidth="10" defaultRowHeight="15"/>
  <cols>
    <col min="2" max="2" width="13.6640625" customWidth="1"/>
    <col min="3" max="3" width="15.83203125" customWidth="1"/>
    <col min="12" max="12" width="11.5" customWidth="1"/>
    <col min="13" max="14" width="13.5" bestFit="1" customWidth="1"/>
    <col min="16" max="16" width="17.33203125" customWidth="1"/>
    <col min="17" max="17" width="15.83203125" style="238" customWidth="1"/>
    <col min="22" max="22" width="18.33203125" customWidth="1"/>
    <col min="29" max="29" width="17.5" customWidth="1"/>
  </cols>
  <sheetData>
    <row r="3" spans="1:29" ht="16" thickBot="1"/>
    <row r="4" spans="1:29" ht="20" thickBot="1">
      <c r="B4" s="270" t="s">
        <v>103</v>
      </c>
      <c r="C4" s="228" t="s">
        <v>126</v>
      </c>
      <c r="D4" s="229" t="s">
        <v>15</v>
      </c>
      <c r="E4" s="227" t="s">
        <v>14</v>
      </c>
    </row>
    <row r="5" spans="1:29" ht="19">
      <c r="C5" s="230" t="s">
        <v>55</v>
      </c>
      <c r="D5" s="231">
        <v>4</v>
      </c>
      <c r="P5" s="270" t="s">
        <v>103</v>
      </c>
      <c r="Q5" s="228" t="s">
        <v>126</v>
      </c>
      <c r="R5" s="229" t="s">
        <v>15</v>
      </c>
      <c r="S5" s="671" t="s">
        <v>14</v>
      </c>
      <c r="T5" s="983"/>
      <c r="U5" s="983"/>
      <c r="V5" s="983"/>
    </row>
    <row r="6" spans="1:29" ht="16" thickBot="1">
      <c r="C6" s="232" t="s">
        <v>62</v>
      </c>
      <c r="D6" s="252">
        <v>78</v>
      </c>
      <c r="P6" s="983"/>
      <c r="Q6" s="230" t="s">
        <v>55</v>
      </c>
      <c r="R6" s="231">
        <v>4</v>
      </c>
      <c r="S6" s="983"/>
      <c r="T6" s="983"/>
      <c r="U6" s="983"/>
      <c r="V6" s="983"/>
    </row>
    <row r="7" spans="1:29" ht="16" thickBot="1">
      <c r="O7" s="244"/>
      <c r="P7" s="983"/>
      <c r="Q7" s="232" t="s">
        <v>62</v>
      </c>
      <c r="R7" s="986">
        <v>78</v>
      </c>
      <c r="S7" s="983"/>
      <c r="T7" s="983"/>
      <c r="U7" s="983"/>
      <c r="V7" s="983"/>
    </row>
    <row r="8" spans="1:29" ht="49" thickBot="1">
      <c r="M8" s="320" t="s">
        <v>125</v>
      </c>
      <c r="N8" s="320" t="s">
        <v>408</v>
      </c>
      <c r="O8" s="244"/>
    </row>
    <row r="9" spans="1:29" ht="16" thickBot="1">
      <c r="O9" s="244"/>
      <c r="AA9" s="266"/>
      <c r="AB9" s="266"/>
      <c r="AC9" s="266"/>
    </row>
    <row r="10" spans="1:29" ht="17" thickBot="1">
      <c r="A10" s="323" t="s">
        <v>127</v>
      </c>
      <c r="B10" s="234"/>
      <c r="C10" s="348" t="s">
        <v>480</v>
      </c>
      <c r="D10" s="254"/>
      <c r="E10" s="254"/>
      <c r="F10" s="254"/>
      <c r="G10" s="254"/>
      <c r="H10" s="254"/>
      <c r="I10" s="254"/>
      <c r="J10" s="254"/>
      <c r="K10" s="255"/>
      <c r="L10" s="239"/>
      <c r="M10" s="241">
        <v>2</v>
      </c>
      <c r="N10" s="321" t="s">
        <v>407</v>
      </c>
      <c r="O10" s="292"/>
      <c r="P10" s="1041" t="s">
        <v>567</v>
      </c>
      <c r="Q10" s="1042"/>
      <c r="R10" s="1042"/>
      <c r="S10" s="1042"/>
      <c r="T10" s="1042"/>
      <c r="U10" s="1042"/>
      <c r="V10" s="1042"/>
      <c r="W10" s="1042"/>
      <c r="AA10" s="5"/>
      <c r="AB10" s="5"/>
      <c r="AC10" s="5"/>
    </row>
    <row r="11" spans="1:29" ht="16">
      <c r="A11" s="1073" t="s">
        <v>520</v>
      </c>
      <c r="B11" s="1073"/>
      <c r="C11" s="371" t="s">
        <v>537</v>
      </c>
      <c r="D11" s="351"/>
      <c r="E11" s="351"/>
      <c r="F11" s="351"/>
      <c r="G11" s="351"/>
      <c r="H11" s="351"/>
      <c r="I11" s="351"/>
      <c r="J11" s="351"/>
      <c r="K11" s="351"/>
      <c r="L11" s="353"/>
      <c r="M11" s="256"/>
      <c r="N11" s="244"/>
      <c r="O11" s="292"/>
      <c r="P11" s="244"/>
      <c r="Q11" s="5"/>
      <c r="R11" s="5"/>
      <c r="AA11" s="5"/>
      <c r="AB11" s="5"/>
      <c r="AC11" s="5"/>
    </row>
    <row r="12" spans="1:29">
      <c r="B12" s="242" t="s">
        <v>410</v>
      </c>
      <c r="C12" s="715" t="s">
        <v>538</v>
      </c>
      <c r="M12" s="225"/>
      <c r="N12" s="225"/>
      <c r="O12" s="292"/>
      <c r="P12" s="381" t="s">
        <v>529</v>
      </c>
      <c r="Q12" s="5"/>
      <c r="R12" s="5"/>
      <c r="AA12" s="5"/>
      <c r="AB12" s="5"/>
      <c r="AC12" s="5"/>
    </row>
    <row r="13" spans="1:29">
      <c r="B13" s="242" t="s">
        <v>410</v>
      </c>
      <c r="C13" s="715" t="s">
        <v>539</v>
      </c>
      <c r="M13" s="225"/>
      <c r="N13" s="225"/>
      <c r="O13" s="292"/>
      <c r="P13" s="421" t="s">
        <v>480</v>
      </c>
      <c r="Q13" s="5"/>
      <c r="R13" s="5"/>
      <c r="AA13" s="5"/>
      <c r="AB13" s="5"/>
      <c r="AC13" s="5"/>
    </row>
    <row r="14" spans="1:29">
      <c r="B14" s="242" t="s">
        <v>410</v>
      </c>
      <c r="C14" s="715" t="s">
        <v>540</v>
      </c>
      <c r="M14" s="225"/>
      <c r="N14" s="225"/>
      <c r="O14" s="292"/>
      <c r="P14" s="373" t="s">
        <v>520</v>
      </c>
      <c r="Q14" s="268" t="s">
        <v>537</v>
      </c>
      <c r="R14" s="5"/>
      <c r="AA14" s="5"/>
      <c r="AB14" s="5"/>
      <c r="AC14" s="5"/>
    </row>
    <row r="15" spans="1:29">
      <c r="B15" s="242" t="s">
        <v>411</v>
      </c>
      <c r="C15" t="s">
        <v>542</v>
      </c>
      <c r="M15" s="225"/>
      <c r="N15" s="225"/>
      <c r="O15" s="292"/>
      <c r="P15" s="420" t="s">
        <v>410</v>
      </c>
      <c r="Q15" t="s">
        <v>538</v>
      </c>
      <c r="R15" s="5"/>
      <c r="AA15" s="5"/>
      <c r="AB15" s="5"/>
      <c r="AC15" s="5"/>
    </row>
    <row r="16" spans="1:29">
      <c r="B16" s="242" t="s">
        <v>411</v>
      </c>
      <c r="C16" t="s">
        <v>543</v>
      </c>
      <c r="M16" s="225"/>
      <c r="N16" s="225"/>
      <c r="O16" s="292"/>
      <c r="P16" s="420" t="s">
        <v>410</v>
      </c>
      <c r="Q16" t="s">
        <v>539</v>
      </c>
      <c r="R16" s="5"/>
      <c r="AA16" s="5"/>
      <c r="AB16" s="5"/>
      <c r="AC16" s="5"/>
    </row>
    <row r="17" spans="1:29">
      <c r="B17" s="242" t="s">
        <v>411</v>
      </c>
      <c r="C17" t="s">
        <v>544</v>
      </c>
      <c r="M17" s="225"/>
      <c r="N17" s="225"/>
      <c r="O17" s="292"/>
      <c r="P17" s="420" t="s">
        <v>410</v>
      </c>
      <c r="Q17" t="s">
        <v>540</v>
      </c>
      <c r="R17" s="5"/>
      <c r="AA17" s="5"/>
      <c r="AB17" s="5"/>
      <c r="AC17" s="5"/>
    </row>
    <row r="18" spans="1:29">
      <c r="B18" s="242" t="s">
        <v>130</v>
      </c>
      <c r="C18" s="376" t="s">
        <v>541</v>
      </c>
      <c r="M18" s="225"/>
      <c r="N18" s="225"/>
      <c r="O18" s="292"/>
      <c r="P18" s="420" t="s">
        <v>411</v>
      </c>
      <c r="Q18" t="s">
        <v>542</v>
      </c>
      <c r="R18" s="5"/>
      <c r="AA18" s="5"/>
      <c r="AB18" s="5"/>
      <c r="AC18" s="5"/>
    </row>
    <row r="19" spans="1:29" ht="15" customHeight="1" thickBot="1">
      <c r="M19" s="225"/>
      <c r="N19" s="225"/>
      <c r="O19" s="292"/>
      <c r="P19" s="420" t="s">
        <v>411</v>
      </c>
      <c r="Q19" t="s">
        <v>543</v>
      </c>
      <c r="R19" s="5"/>
      <c r="AA19" s="244"/>
      <c r="AB19" s="244"/>
      <c r="AC19" s="244"/>
    </row>
    <row r="20" spans="1:29" ht="17" thickBot="1">
      <c r="A20" s="323" t="s">
        <v>128</v>
      </c>
      <c r="B20" s="234"/>
      <c r="C20" s="1038" t="s">
        <v>476</v>
      </c>
      <c r="D20" s="1039"/>
      <c r="E20" s="1039"/>
      <c r="F20" s="1039"/>
      <c r="G20" s="1039"/>
      <c r="H20" s="1039"/>
      <c r="I20" s="1039"/>
      <c r="J20" s="1039"/>
      <c r="K20" s="1039"/>
      <c r="L20" s="1039"/>
      <c r="M20" s="241">
        <v>2</v>
      </c>
      <c r="N20" s="321" t="s">
        <v>407</v>
      </c>
      <c r="O20" s="292"/>
      <c r="P20" s="420" t="s">
        <v>411</v>
      </c>
      <c r="Q20" t="s">
        <v>544</v>
      </c>
      <c r="AA20" s="244"/>
      <c r="AB20" s="244"/>
      <c r="AC20" s="244"/>
    </row>
    <row r="21" spans="1:29" ht="16">
      <c r="A21" s="1073" t="s">
        <v>520</v>
      </c>
      <c r="B21" s="1073"/>
      <c r="C21" s="390" t="s">
        <v>545</v>
      </c>
      <c r="D21" s="376"/>
      <c r="E21" s="376"/>
      <c r="F21" s="376"/>
      <c r="G21" s="376"/>
      <c r="H21" s="376"/>
      <c r="M21" s="225"/>
      <c r="N21" s="225"/>
      <c r="O21" s="292"/>
      <c r="R21" s="244"/>
      <c r="AA21" s="244"/>
      <c r="AB21" s="244"/>
      <c r="AC21" s="244"/>
    </row>
    <row r="22" spans="1:29">
      <c r="B22" s="242" t="s">
        <v>410</v>
      </c>
      <c r="C22" s="715" t="s">
        <v>546</v>
      </c>
      <c r="M22" s="225"/>
      <c r="N22" s="225"/>
      <c r="O22" s="292"/>
      <c r="P22" s="422" t="s">
        <v>476</v>
      </c>
      <c r="Q22" s="244"/>
      <c r="R22" s="244"/>
      <c r="AA22" s="244"/>
      <c r="AB22" s="244"/>
      <c r="AC22" s="244"/>
    </row>
    <row r="23" spans="1:29">
      <c r="B23" s="242" t="s">
        <v>410</v>
      </c>
      <c r="C23" s="715" t="s">
        <v>547</v>
      </c>
      <c r="M23" s="225"/>
      <c r="N23" s="225"/>
      <c r="O23" s="292"/>
      <c r="P23" s="373" t="s">
        <v>520</v>
      </c>
      <c r="Q23" s="352" t="s">
        <v>545</v>
      </c>
    </row>
    <row r="24" spans="1:29">
      <c r="B24" s="242" t="s">
        <v>411</v>
      </c>
      <c r="C24" t="s">
        <v>548</v>
      </c>
      <c r="M24" s="225"/>
      <c r="N24" s="225"/>
      <c r="O24" s="292"/>
      <c r="P24" s="420" t="s">
        <v>410</v>
      </c>
      <c r="Q24" t="s">
        <v>546</v>
      </c>
    </row>
    <row r="25" spans="1:29">
      <c r="B25" s="242" t="s">
        <v>411</v>
      </c>
      <c r="C25" t="s">
        <v>549</v>
      </c>
      <c r="O25" s="292"/>
      <c r="P25" s="420" t="s">
        <v>410</v>
      </c>
      <c r="Q25" t="s">
        <v>547</v>
      </c>
    </row>
    <row r="26" spans="1:29">
      <c r="B26" s="242" t="s">
        <v>130</v>
      </c>
      <c r="C26" s="242" t="s">
        <v>550</v>
      </c>
      <c r="O26" s="292"/>
      <c r="P26" s="420" t="s">
        <v>411</v>
      </c>
      <c r="Q26" t="s">
        <v>548</v>
      </c>
    </row>
    <row r="27" spans="1:29">
      <c r="O27" s="292"/>
      <c r="P27" s="420" t="s">
        <v>411</v>
      </c>
      <c r="Q27" t="s">
        <v>549</v>
      </c>
    </row>
    <row r="28" spans="1:29" ht="16" thickBot="1">
      <c r="O28" s="292"/>
    </row>
    <row r="29" spans="1:29" ht="17" thickBot="1">
      <c r="A29" s="325" t="s">
        <v>129</v>
      </c>
      <c r="B29" s="234"/>
      <c r="C29" s="1045" t="s">
        <v>477</v>
      </c>
      <c r="D29" s="1039"/>
      <c r="E29" s="1039"/>
      <c r="F29" s="1039"/>
      <c r="G29" s="1039"/>
      <c r="H29" s="1039"/>
      <c r="I29" s="1039"/>
      <c r="J29" s="1039"/>
      <c r="K29" s="1039"/>
      <c r="L29" s="1039"/>
      <c r="M29" s="241">
        <v>2</v>
      </c>
      <c r="N29" s="321" t="s">
        <v>407</v>
      </c>
      <c r="O29" s="292"/>
      <c r="P29" s="422" t="s">
        <v>477</v>
      </c>
    </row>
    <row r="30" spans="1:29" ht="16">
      <c r="A30" s="1073" t="s">
        <v>520</v>
      </c>
      <c r="B30" s="1073"/>
      <c r="C30" s="390" t="s">
        <v>551</v>
      </c>
      <c r="M30" s="225"/>
      <c r="N30" s="225"/>
      <c r="O30" s="292"/>
      <c r="P30" s="373" t="s">
        <v>520</v>
      </c>
      <c r="Q30" s="394" t="s">
        <v>551</v>
      </c>
    </row>
    <row r="31" spans="1:29">
      <c r="A31" s="238"/>
      <c r="B31" s="394" t="s">
        <v>410</v>
      </c>
      <c r="C31" s="716" t="s">
        <v>522</v>
      </c>
      <c r="M31" s="225"/>
      <c r="N31" s="225"/>
      <c r="O31" s="304"/>
      <c r="P31" s="420" t="s">
        <v>410</v>
      </c>
      <c r="Q31" s="369" t="s">
        <v>522</v>
      </c>
    </row>
    <row r="32" spans="1:29">
      <c r="A32" s="238"/>
      <c r="B32" s="394" t="s">
        <v>410</v>
      </c>
      <c r="C32" s="715" t="s">
        <v>523</v>
      </c>
      <c r="M32" s="225"/>
      <c r="N32" s="225"/>
      <c r="O32" s="292"/>
      <c r="P32" s="420" t="s">
        <v>410</v>
      </c>
      <c r="Q32" t="s">
        <v>523</v>
      </c>
    </row>
    <row r="33" spans="1:17">
      <c r="A33" s="238"/>
      <c r="B33" s="394" t="s">
        <v>410</v>
      </c>
      <c r="C33" s="716" t="s">
        <v>524</v>
      </c>
      <c r="M33" s="225"/>
      <c r="N33" s="225"/>
      <c r="O33" s="292"/>
      <c r="P33" s="420" t="s">
        <v>410</v>
      </c>
      <c r="Q33" s="369" t="s">
        <v>524</v>
      </c>
    </row>
    <row r="34" spans="1:17">
      <c r="A34" s="238"/>
      <c r="B34" s="394" t="s">
        <v>411</v>
      </c>
      <c r="C34" s="369" t="s">
        <v>525</v>
      </c>
      <c r="O34" s="292"/>
      <c r="P34" s="420" t="s">
        <v>411</v>
      </c>
      <c r="Q34" s="369" t="s">
        <v>525</v>
      </c>
    </row>
    <row r="35" spans="1:17">
      <c r="A35" s="238"/>
      <c r="B35" s="394" t="s">
        <v>411</v>
      </c>
      <c r="C35" s="369" t="s">
        <v>566</v>
      </c>
      <c r="O35" s="292"/>
      <c r="P35" s="420" t="s">
        <v>411</v>
      </c>
      <c r="Q35" s="369" t="s">
        <v>566</v>
      </c>
    </row>
    <row r="36" spans="1:17">
      <c r="A36" s="238"/>
      <c r="B36" s="394" t="s">
        <v>411</v>
      </c>
      <c r="C36" s="369" t="s">
        <v>552</v>
      </c>
      <c r="O36" s="292"/>
      <c r="P36" s="420" t="s">
        <v>411</v>
      </c>
      <c r="Q36" s="369" t="s">
        <v>552</v>
      </c>
    </row>
    <row r="37" spans="1:17" ht="16">
      <c r="A37" s="1071" t="s">
        <v>520</v>
      </c>
      <c r="B37" s="1071"/>
      <c r="C37" s="390" t="s">
        <v>553</v>
      </c>
      <c r="O37" s="292"/>
    </row>
    <row r="38" spans="1:17">
      <c r="A38" s="394"/>
      <c r="B38" s="394" t="s">
        <v>410</v>
      </c>
      <c r="C38" s="716" t="s">
        <v>554</v>
      </c>
      <c r="O38" s="292"/>
      <c r="P38" s="373" t="s">
        <v>520</v>
      </c>
      <c r="Q38" s="394" t="s">
        <v>553</v>
      </c>
    </row>
    <row r="39" spans="1:17">
      <c r="A39" s="394"/>
      <c r="B39" s="394" t="s">
        <v>410</v>
      </c>
      <c r="C39" s="715" t="s">
        <v>555</v>
      </c>
      <c r="O39" s="292"/>
      <c r="P39" s="420" t="s">
        <v>410</v>
      </c>
      <c r="Q39" s="369" t="s">
        <v>554</v>
      </c>
    </row>
    <row r="40" spans="1:17">
      <c r="A40" s="394"/>
      <c r="B40" s="394" t="s">
        <v>410</v>
      </c>
      <c r="C40" s="716" t="s">
        <v>556</v>
      </c>
      <c r="O40" s="292"/>
      <c r="P40" s="420" t="s">
        <v>410</v>
      </c>
      <c r="Q40" t="s">
        <v>555</v>
      </c>
    </row>
    <row r="41" spans="1:17">
      <c r="A41" s="394"/>
      <c r="B41" s="394" t="s">
        <v>411</v>
      </c>
      <c r="C41" s="369" t="s">
        <v>525</v>
      </c>
      <c r="O41" s="292"/>
      <c r="P41" s="420" t="s">
        <v>410</v>
      </c>
      <c r="Q41" s="369" t="s">
        <v>556</v>
      </c>
    </row>
    <row r="42" spans="1:17">
      <c r="A42" s="394"/>
      <c r="B42" s="394" t="s">
        <v>411</v>
      </c>
      <c r="C42" s="369" t="s">
        <v>557</v>
      </c>
      <c r="O42" s="292"/>
      <c r="P42" s="420" t="s">
        <v>411</v>
      </c>
      <c r="Q42" s="369" t="s">
        <v>525</v>
      </c>
    </row>
    <row r="43" spans="1:17" ht="16">
      <c r="A43" s="1072" t="s">
        <v>488</v>
      </c>
      <c r="B43" s="1072"/>
      <c r="C43" s="393" t="s">
        <v>558</v>
      </c>
      <c r="O43" s="292"/>
      <c r="P43" s="420" t="s">
        <v>411</v>
      </c>
      <c r="Q43" s="369" t="s">
        <v>557</v>
      </c>
    </row>
    <row r="44" spans="1:17">
      <c r="B44" s="242" t="s">
        <v>410</v>
      </c>
      <c r="C44" s="715" t="s">
        <v>559</v>
      </c>
      <c r="O44" s="292"/>
    </row>
    <row r="45" spans="1:17">
      <c r="B45" s="242" t="s">
        <v>410</v>
      </c>
      <c r="C45" s="715" t="s">
        <v>560</v>
      </c>
      <c r="O45" s="292"/>
      <c r="P45" s="373" t="s">
        <v>520</v>
      </c>
      <c r="Q45" s="394" t="s">
        <v>558</v>
      </c>
    </row>
    <row r="46" spans="1:17">
      <c r="B46" s="242" t="s">
        <v>410</v>
      </c>
      <c r="C46" s="715" t="s">
        <v>561</v>
      </c>
      <c r="O46" s="292"/>
      <c r="P46" s="420" t="s">
        <v>410</v>
      </c>
      <c r="Q46" t="s">
        <v>559</v>
      </c>
    </row>
    <row r="47" spans="1:17">
      <c r="B47" s="242" t="s">
        <v>411</v>
      </c>
      <c r="C47" t="s">
        <v>562</v>
      </c>
      <c r="O47" s="292"/>
      <c r="P47" s="420" t="s">
        <v>410</v>
      </c>
      <c r="Q47" t="s">
        <v>560</v>
      </c>
    </row>
    <row r="48" spans="1:17">
      <c r="B48" s="242" t="s">
        <v>411</v>
      </c>
      <c r="C48" t="s">
        <v>563</v>
      </c>
      <c r="O48" s="292"/>
      <c r="P48" s="420" t="s">
        <v>410</v>
      </c>
      <c r="Q48" t="s">
        <v>561</v>
      </c>
    </row>
    <row r="49" spans="1:17">
      <c r="B49" s="242"/>
      <c r="O49" s="292"/>
      <c r="P49" s="420" t="s">
        <v>411</v>
      </c>
      <c r="Q49" t="s">
        <v>562</v>
      </c>
    </row>
    <row r="50" spans="1:17">
      <c r="B50" s="242" t="s">
        <v>130</v>
      </c>
      <c r="C50" s="242" t="s">
        <v>564</v>
      </c>
      <c r="O50" s="292"/>
      <c r="P50" s="420" t="s">
        <v>411</v>
      </c>
      <c r="Q50" t="s">
        <v>563</v>
      </c>
    </row>
    <row r="51" spans="1:17">
      <c r="A51" s="391"/>
      <c r="B51" s="242"/>
      <c r="C51" s="392" t="s">
        <v>565</v>
      </c>
      <c r="O51" s="292"/>
    </row>
    <row r="52" spans="1:17">
      <c r="A52" s="391"/>
      <c r="O52" s="292"/>
    </row>
    <row r="53" spans="1:17">
      <c r="A53" s="391"/>
      <c r="O53" s="292"/>
      <c r="P53" s="227" t="s">
        <v>186</v>
      </c>
    </row>
    <row r="54" spans="1:17">
      <c r="O54" s="292"/>
      <c r="P54" s="298" t="s">
        <v>249</v>
      </c>
    </row>
    <row r="55" spans="1:17">
      <c r="O55" s="292"/>
      <c r="P55" s="298" t="s">
        <v>250</v>
      </c>
    </row>
    <row r="56" spans="1:17">
      <c r="O56" s="292"/>
      <c r="P56" s="298" t="s">
        <v>251</v>
      </c>
    </row>
    <row r="57" spans="1:17">
      <c r="O57" s="292"/>
      <c r="P57" s="298" t="s">
        <v>252</v>
      </c>
    </row>
    <row r="58" spans="1:17">
      <c r="O58" s="292"/>
      <c r="P58" s="298" t="s">
        <v>253</v>
      </c>
    </row>
    <row r="59" spans="1:17">
      <c r="O59" s="292"/>
      <c r="P59" s="298" t="s">
        <v>254</v>
      </c>
    </row>
    <row r="60" spans="1:17">
      <c r="O60" s="292"/>
      <c r="P60" s="298" t="s">
        <v>255</v>
      </c>
    </row>
    <row r="61" spans="1:17">
      <c r="O61" s="292"/>
      <c r="P61" s="298" t="s">
        <v>256</v>
      </c>
    </row>
    <row r="62" spans="1:17">
      <c r="O62" s="292"/>
      <c r="P62" s="298" t="s">
        <v>257</v>
      </c>
    </row>
    <row r="63" spans="1:17">
      <c r="O63" s="292"/>
    </row>
    <row r="64" spans="1:17">
      <c r="O64" s="292"/>
      <c r="P64" s="242" t="s">
        <v>130</v>
      </c>
      <c r="Q64" s="376" t="s">
        <v>541</v>
      </c>
    </row>
    <row r="65" spans="15:17">
      <c r="O65" s="292"/>
      <c r="Q65" s="242" t="s">
        <v>550</v>
      </c>
    </row>
    <row r="66" spans="15:17">
      <c r="O66" s="292"/>
      <c r="Q66" s="242" t="s">
        <v>564</v>
      </c>
    </row>
    <row r="67" spans="15:17">
      <c r="O67" s="292"/>
      <c r="Q67" s="392" t="s">
        <v>565</v>
      </c>
    </row>
  </sheetData>
  <mergeCells count="8">
    <mergeCell ref="A37:B37"/>
    <mergeCell ref="A43:B43"/>
    <mergeCell ref="P10:W10"/>
    <mergeCell ref="C20:L20"/>
    <mergeCell ref="C29:L29"/>
    <mergeCell ref="A11:B11"/>
    <mergeCell ref="A21:B21"/>
    <mergeCell ref="A30:B30"/>
  </mergeCells>
  <dataValidations disablePrompts="1" count="2">
    <dataValidation type="list" allowBlank="1" showInputMessage="1" showErrorMessage="1" sqref="N20 N29 N10:N11" xr:uid="{00000000-0002-0000-0C00-000000000000}">
      <formula1>choix</formula1>
    </dataValidation>
    <dataValidation type="list" allowBlank="1" showInputMessage="1" showErrorMessage="1" sqref="B22:B25 B12:B17 B44:B49 B31:B36 B38:B42 B51 P15:P20 P24:P27 P31:P36 P39:P43 P46:P50" xr:uid="{00000000-0002-0000-0C00-000001000000}">
      <formula1>Choix_capacité</formula1>
    </dataValidation>
  </dataValidations>
  <pageMargins left="0.7" right="0.7" top="0.75" bottom="0.75" header="0.3" footer="0.3"/>
  <pageSetup paperSize="9" scale="28" orientation="portrait" horizontalDpi="1200" verticalDpi="1200"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4">
    <tabColor theme="5"/>
    <pageSetUpPr fitToPage="1"/>
  </sheetPr>
  <dimension ref="A3:X67"/>
  <sheetViews>
    <sheetView zoomScale="80" zoomScaleNormal="80" workbookViewId="0">
      <selection activeCell="C40" sqref="C40"/>
    </sheetView>
  </sheetViews>
  <sheetFormatPr baseColWidth="10" defaultRowHeight="15"/>
  <cols>
    <col min="2" max="2" width="13.6640625" customWidth="1"/>
    <col min="3" max="3" width="15" customWidth="1"/>
    <col min="12" max="12" width="18.83203125" customWidth="1"/>
    <col min="13" max="14" width="13.5" bestFit="1" customWidth="1"/>
    <col min="17" max="17" width="19.33203125" style="238" customWidth="1"/>
    <col min="18" max="18" width="17.6640625" customWidth="1"/>
    <col min="22" max="22" width="16.1640625" customWidth="1"/>
    <col min="29" max="29" width="17.5" customWidth="1"/>
  </cols>
  <sheetData>
    <row r="3" spans="1:24" ht="16" thickBot="1"/>
    <row r="4" spans="1:24" ht="19">
      <c r="B4" s="270" t="s">
        <v>103</v>
      </c>
      <c r="C4" s="228" t="s">
        <v>126</v>
      </c>
      <c r="D4" s="229" t="s">
        <v>17</v>
      </c>
      <c r="E4" s="227" t="s">
        <v>16</v>
      </c>
      <c r="Q4" s="270" t="s">
        <v>103</v>
      </c>
      <c r="R4" s="228" t="s">
        <v>126</v>
      </c>
      <c r="S4" s="229" t="s">
        <v>17</v>
      </c>
      <c r="T4" s="671" t="s">
        <v>16</v>
      </c>
      <c r="U4" s="983"/>
      <c r="V4" s="983"/>
    </row>
    <row r="5" spans="1:24">
      <c r="C5" s="230" t="s">
        <v>55</v>
      </c>
      <c r="D5" s="231">
        <v>5</v>
      </c>
      <c r="Q5" s="983"/>
      <c r="R5" s="230" t="s">
        <v>55</v>
      </c>
      <c r="S5" s="231">
        <v>5</v>
      </c>
      <c r="T5" s="983"/>
      <c r="U5" s="983"/>
      <c r="V5" s="983"/>
    </row>
    <row r="6" spans="1:24" ht="16" thickBot="1">
      <c r="C6" s="232" t="s">
        <v>62</v>
      </c>
      <c r="D6" s="252">
        <v>88</v>
      </c>
      <c r="Q6" s="983"/>
      <c r="R6" s="232" t="s">
        <v>62</v>
      </c>
      <c r="S6" s="986">
        <v>88</v>
      </c>
      <c r="T6" s="983"/>
      <c r="U6" s="983"/>
      <c r="V6" s="983"/>
    </row>
    <row r="7" spans="1:24" ht="16" thickBot="1">
      <c r="U7" s="242"/>
    </row>
    <row r="8" spans="1:24" ht="49" thickBot="1">
      <c r="M8" s="320" t="s">
        <v>125</v>
      </c>
      <c r="N8" s="320" t="s">
        <v>408</v>
      </c>
      <c r="Q8"/>
    </row>
    <row r="9" spans="1:24" ht="16" thickBot="1">
      <c r="O9" s="244"/>
      <c r="P9" s="266"/>
      <c r="S9" s="266"/>
      <c r="T9" s="266"/>
      <c r="U9" s="266"/>
      <c r="V9" s="266"/>
    </row>
    <row r="10" spans="1:24" ht="17" thickBot="1">
      <c r="A10" s="323" t="s">
        <v>127</v>
      </c>
      <c r="B10" s="234"/>
      <c r="C10" s="348" t="s">
        <v>480</v>
      </c>
      <c r="D10" s="349"/>
      <c r="E10" s="349"/>
      <c r="F10" s="349"/>
      <c r="G10" s="349"/>
      <c r="H10" s="349"/>
      <c r="I10" s="349"/>
      <c r="J10" s="349"/>
      <c r="K10" s="350"/>
      <c r="L10" s="239"/>
      <c r="M10" s="241">
        <v>2</v>
      </c>
      <c r="N10" s="321" t="s">
        <v>407</v>
      </c>
      <c r="O10" s="244"/>
      <c r="P10" s="268"/>
      <c r="Q10" s="1041" t="s">
        <v>567</v>
      </c>
      <c r="R10" s="1042"/>
      <c r="S10" s="1042"/>
      <c r="T10" s="1042"/>
      <c r="U10" s="1042"/>
      <c r="V10" s="1042"/>
      <c r="W10" s="1042"/>
      <c r="X10" s="1042"/>
    </row>
    <row r="11" spans="1:24" ht="16">
      <c r="A11" s="370" t="s">
        <v>660</v>
      </c>
      <c r="B11" s="396"/>
      <c r="C11" s="390" t="s">
        <v>661</v>
      </c>
      <c r="D11" s="351"/>
      <c r="E11" s="351"/>
      <c r="F11" s="351"/>
      <c r="G11" s="351"/>
      <c r="H11" s="351"/>
      <c r="I11" s="351"/>
      <c r="J11" s="351"/>
      <c r="K11" s="351"/>
      <c r="L11" s="353"/>
      <c r="M11" s="256"/>
      <c r="N11" s="244"/>
      <c r="O11" s="244"/>
      <c r="P11" s="419"/>
      <c r="S11" s="5"/>
      <c r="T11" s="5"/>
      <c r="U11" s="5"/>
      <c r="V11" s="5"/>
    </row>
    <row r="12" spans="1:24">
      <c r="B12" s="242" t="s">
        <v>410</v>
      </c>
      <c r="C12" s="715" t="s">
        <v>662</v>
      </c>
      <c r="M12" s="225"/>
      <c r="N12" s="225"/>
      <c r="O12" s="244"/>
      <c r="P12" s="419"/>
      <c r="Q12" s="380" t="s">
        <v>529</v>
      </c>
      <c r="R12" s="244"/>
      <c r="S12" s="5"/>
      <c r="T12" s="5"/>
      <c r="U12" s="5"/>
      <c r="V12" s="5"/>
    </row>
    <row r="13" spans="1:24">
      <c r="B13" s="242" t="s">
        <v>410</v>
      </c>
      <c r="C13" s="715" t="s">
        <v>663</v>
      </c>
      <c r="M13" s="225"/>
      <c r="N13" s="225"/>
      <c r="O13" s="244"/>
      <c r="P13" s="419"/>
      <c r="T13" s="5"/>
      <c r="U13" s="5"/>
      <c r="V13" s="5"/>
    </row>
    <row r="14" spans="1:24">
      <c r="B14" s="242" t="s">
        <v>410</v>
      </c>
      <c r="C14" s="715" t="s">
        <v>664</v>
      </c>
      <c r="M14" s="225"/>
      <c r="N14" s="225"/>
      <c r="O14" s="244"/>
      <c r="P14" s="419"/>
      <c r="Q14" s="424" t="s">
        <v>480</v>
      </c>
      <c r="T14" s="5"/>
      <c r="U14" s="5"/>
      <c r="V14" s="5"/>
    </row>
    <row r="15" spans="1:24">
      <c r="B15" s="242" t="s">
        <v>411</v>
      </c>
      <c r="C15" t="s">
        <v>665</v>
      </c>
      <c r="M15" s="225"/>
      <c r="N15" s="225"/>
      <c r="O15" s="244"/>
      <c r="P15" s="419"/>
      <c r="Q15" s="423" t="s">
        <v>660</v>
      </c>
      <c r="R15" s="376" t="s">
        <v>661</v>
      </c>
      <c r="S15" s="5"/>
      <c r="T15" s="5"/>
      <c r="U15" s="5"/>
      <c r="V15" s="5"/>
    </row>
    <row r="16" spans="1:24">
      <c r="B16" s="242" t="s">
        <v>411</v>
      </c>
      <c r="C16" t="s">
        <v>666</v>
      </c>
      <c r="M16" s="225"/>
      <c r="N16" s="225"/>
      <c r="P16" s="419"/>
      <c r="Q16" s="425" t="s">
        <v>410</v>
      </c>
      <c r="R16" s="238" t="s">
        <v>662</v>
      </c>
      <c r="S16" s="5"/>
      <c r="T16" s="5"/>
      <c r="U16" s="5"/>
      <c r="V16" s="5"/>
    </row>
    <row r="17" spans="1:22">
      <c r="B17" s="242" t="s">
        <v>411</v>
      </c>
      <c r="C17" t="s">
        <v>667</v>
      </c>
      <c r="M17" s="225"/>
      <c r="N17" s="225"/>
      <c r="P17" s="419"/>
      <c r="Q17" s="425" t="s">
        <v>410</v>
      </c>
      <c r="R17" s="238" t="s">
        <v>663</v>
      </c>
      <c r="S17" s="5"/>
      <c r="T17" s="5"/>
      <c r="U17" s="5"/>
      <c r="V17" s="5"/>
    </row>
    <row r="18" spans="1:22">
      <c r="B18" s="242" t="s">
        <v>411</v>
      </c>
      <c r="C18" t="s">
        <v>668</v>
      </c>
      <c r="M18" s="225"/>
      <c r="N18" s="225"/>
      <c r="P18" s="419"/>
      <c r="Q18" s="425" t="s">
        <v>410</v>
      </c>
      <c r="R18" s="238" t="s">
        <v>664</v>
      </c>
      <c r="S18" s="5"/>
      <c r="T18" s="5"/>
      <c r="U18" s="5"/>
      <c r="V18" s="5"/>
    </row>
    <row r="19" spans="1:22">
      <c r="B19" s="242" t="s">
        <v>130</v>
      </c>
      <c r="C19" s="242" t="s">
        <v>669</v>
      </c>
      <c r="M19" s="225"/>
      <c r="N19" s="225"/>
      <c r="P19" s="292"/>
      <c r="Q19" s="425" t="s">
        <v>411</v>
      </c>
      <c r="R19" s="238" t="s">
        <v>665</v>
      </c>
      <c r="S19" s="5"/>
      <c r="T19" s="244"/>
      <c r="U19" s="244"/>
      <c r="V19" s="244"/>
    </row>
    <row r="20" spans="1:22" ht="16" thickBot="1">
      <c r="M20" s="225"/>
      <c r="N20" s="225"/>
      <c r="P20" s="292"/>
      <c r="Q20" s="425" t="s">
        <v>411</v>
      </c>
      <c r="R20" s="238" t="s">
        <v>666</v>
      </c>
      <c r="S20" s="5"/>
      <c r="T20" s="244"/>
      <c r="U20" s="244"/>
      <c r="V20" s="244"/>
    </row>
    <row r="21" spans="1:22" ht="17" thickBot="1">
      <c r="A21" s="323" t="s">
        <v>128</v>
      </c>
      <c r="B21" s="234"/>
      <c r="C21" s="1038" t="s">
        <v>64</v>
      </c>
      <c r="D21" s="1039"/>
      <c r="E21" s="1039"/>
      <c r="F21" s="1039"/>
      <c r="G21" s="1039"/>
      <c r="H21" s="1039"/>
      <c r="I21" s="1039"/>
      <c r="J21" s="1039"/>
      <c r="K21" s="1039"/>
      <c r="L21" s="1039"/>
      <c r="M21" s="241">
        <v>2</v>
      </c>
      <c r="N21" s="321" t="s">
        <v>407</v>
      </c>
      <c r="P21" s="292"/>
      <c r="Q21" s="425" t="s">
        <v>411</v>
      </c>
      <c r="R21" s="238" t="s">
        <v>667</v>
      </c>
      <c r="S21" s="244"/>
    </row>
    <row r="22" spans="1:22" ht="16">
      <c r="A22" s="370" t="s">
        <v>660</v>
      </c>
      <c r="B22" s="396"/>
      <c r="C22" s="390" t="s">
        <v>670</v>
      </c>
      <c r="D22" s="351"/>
      <c r="E22" s="351"/>
      <c r="F22" s="351"/>
      <c r="G22" s="351"/>
      <c r="H22" s="351"/>
      <c r="I22" s="351"/>
      <c r="J22" s="351"/>
      <c r="K22" s="351"/>
      <c r="L22" s="351"/>
      <c r="M22" s="256"/>
      <c r="N22" s="244"/>
      <c r="P22" s="292"/>
      <c r="Q22" s="425" t="s">
        <v>411</v>
      </c>
      <c r="R22" s="238" t="s">
        <v>668</v>
      </c>
      <c r="S22" s="244"/>
    </row>
    <row r="23" spans="1:22">
      <c r="B23" s="242" t="s">
        <v>410</v>
      </c>
      <c r="C23" s="715" t="s">
        <v>671</v>
      </c>
      <c r="M23" s="225"/>
      <c r="N23" s="225"/>
      <c r="P23" s="292"/>
      <c r="Q23" s="424" t="s">
        <v>64</v>
      </c>
    </row>
    <row r="24" spans="1:22">
      <c r="B24" s="242" t="s">
        <v>410</v>
      </c>
      <c r="C24" s="715" t="s">
        <v>672</v>
      </c>
      <c r="M24" s="225"/>
      <c r="N24" s="225"/>
      <c r="P24" s="292"/>
      <c r="Q24" s="423" t="s">
        <v>660</v>
      </c>
      <c r="R24" s="376" t="s">
        <v>670</v>
      </c>
    </row>
    <row r="25" spans="1:22">
      <c r="B25" s="242" t="s">
        <v>410</v>
      </c>
      <c r="C25" s="715" t="s">
        <v>673</v>
      </c>
      <c r="M25" s="225"/>
      <c r="N25" s="225"/>
      <c r="P25" s="292"/>
      <c r="Q25" s="425" t="s">
        <v>410</v>
      </c>
      <c r="R25" s="238" t="s">
        <v>671</v>
      </c>
    </row>
    <row r="26" spans="1:22">
      <c r="B26" s="242" t="s">
        <v>411</v>
      </c>
      <c r="C26" t="s">
        <v>674</v>
      </c>
      <c r="M26" s="225"/>
      <c r="N26" s="225"/>
      <c r="P26" s="292"/>
      <c r="Q26" s="425" t="s">
        <v>410</v>
      </c>
      <c r="R26" s="238" t="s">
        <v>672</v>
      </c>
    </row>
    <row r="27" spans="1:22">
      <c r="B27" s="242" t="s">
        <v>411</v>
      </c>
      <c r="C27" t="s">
        <v>675</v>
      </c>
      <c r="P27" s="292"/>
      <c r="Q27" s="425" t="s">
        <v>410</v>
      </c>
      <c r="R27" s="238" t="s">
        <v>673</v>
      </c>
    </row>
    <row r="28" spans="1:22">
      <c r="B28" s="242" t="s">
        <v>411</v>
      </c>
      <c r="C28" t="s">
        <v>676</v>
      </c>
      <c r="P28" s="292"/>
      <c r="Q28" s="425" t="s">
        <v>411</v>
      </c>
      <c r="R28" s="238" t="s">
        <v>674</v>
      </c>
    </row>
    <row r="29" spans="1:22">
      <c r="B29" s="242" t="s">
        <v>130</v>
      </c>
      <c r="C29" s="242" t="s">
        <v>677</v>
      </c>
      <c r="P29" s="292"/>
      <c r="Q29" s="425" t="s">
        <v>411</v>
      </c>
      <c r="R29" s="238" t="s">
        <v>675</v>
      </c>
    </row>
    <row r="30" spans="1:22" ht="16" thickBot="1">
      <c r="P30" s="292"/>
      <c r="Q30" s="425" t="s">
        <v>411</v>
      </c>
      <c r="R30" s="238" t="s">
        <v>676</v>
      </c>
    </row>
    <row r="31" spans="1:22" ht="17" thickBot="1">
      <c r="A31" s="323" t="s">
        <v>129</v>
      </c>
      <c r="B31" s="234"/>
      <c r="C31" s="1038" t="s">
        <v>478</v>
      </c>
      <c r="D31" s="1039"/>
      <c r="E31" s="1039"/>
      <c r="F31" s="1039"/>
      <c r="G31" s="1039"/>
      <c r="H31" s="1039"/>
      <c r="I31" s="1039"/>
      <c r="J31" s="1039"/>
      <c r="K31" s="1039"/>
      <c r="L31" s="1039"/>
      <c r="M31" s="241">
        <v>1</v>
      </c>
      <c r="N31" s="321" t="s">
        <v>409</v>
      </c>
      <c r="P31" s="292"/>
      <c r="Q31" s="424" t="s">
        <v>478</v>
      </c>
      <c r="U31" s="328"/>
    </row>
    <row r="32" spans="1:22" ht="16">
      <c r="A32" s="370" t="s">
        <v>660</v>
      </c>
      <c r="B32" s="396"/>
      <c r="C32" s="390" t="s">
        <v>678</v>
      </c>
      <c r="D32" s="351"/>
      <c r="E32" s="351"/>
      <c r="F32" s="351"/>
      <c r="G32" s="351"/>
      <c r="H32" s="351"/>
      <c r="I32" s="351"/>
      <c r="J32" s="351"/>
      <c r="K32" s="351"/>
      <c r="L32" s="351"/>
      <c r="M32" s="256"/>
      <c r="N32" s="244"/>
      <c r="P32" s="292"/>
      <c r="Q32" s="423" t="s">
        <v>660</v>
      </c>
      <c r="R32" s="376" t="s">
        <v>678</v>
      </c>
    </row>
    <row r="33" spans="2:18">
      <c r="B33" s="242" t="s">
        <v>410</v>
      </c>
      <c r="C33" s="715" t="s">
        <v>679</v>
      </c>
      <c r="M33" s="225"/>
      <c r="N33" s="225"/>
      <c r="P33" s="292"/>
      <c r="Q33" s="425" t="s">
        <v>410</v>
      </c>
      <c r="R33" s="238" t="s">
        <v>679</v>
      </c>
    </row>
    <row r="34" spans="2:18">
      <c r="B34" s="242" t="s">
        <v>410</v>
      </c>
      <c r="C34" s="715" t="s">
        <v>680</v>
      </c>
      <c r="M34" s="225"/>
      <c r="N34" s="225"/>
      <c r="P34" s="292"/>
      <c r="Q34" s="425" t="s">
        <v>410</v>
      </c>
      <c r="R34" s="238" t="s">
        <v>680</v>
      </c>
    </row>
    <row r="35" spans="2:18">
      <c r="B35" s="242" t="s">
        <v>411</v>
      </c>
      <c r="C35" t="s">
        <v>681</v>
      </c>
      <c r="P35" s="292"/>
      <c r="Q35" s="425" t="s">
        <v>411</v>
      </c>
      <c r="R35" s="238" t="s">
        <v>681</v>
      </c>
    </row>
    <row r="36" spans="2:18">
      <c r="B36" s="242" t="s">
        <v>411</v>
      </c>
      <c r="C36" t="s">
        <v>682</v>
      </c>
      <c r="O36" s="244"/>
      <c r="P36" s="292"/>
      <c r="Q36" s="425" t="s">
        <v>411</v>
      </c>
      <c r="R36" s="238" t="s">
        <v>682</v>
      </c>
    </row>
    <row r="37" spans="2:18">
      <c r="B37" s="242" t="s">
        <v>130</v>
      </c>
      <c r="C37" s="242" t="s">
        <v>683</v>
      </c>
      <c r="O37" s="244"/>
      <c r="P37" s="292"/>
      <c r="Q37"/>
    </row>
    <row r="38" spans="2:18">
      <c r="O38" s="244"/>
      <c r="P38" s="292"/>
      <c r="Q38" s="413" t="s">
        <v>186</v>
      </c>
    </row>
    <row r="39" spans="2:18">
      <c r="O39" s="244"/>
      <c r="P39" s="292"/>
      <c r="Q39" s="227" t="s">
        <v>684</v>
      </c>
    </row>
    <row r="40" spans="2:18">
      <c r="O40" s="244"/>
      <c r="P40" s="292"/>
      <c r="Q40" s="286" t="s">
        <v>685</v>
      </c>
    </row>
    <row r="41" spans="2:18">
      <c r="O41" s="244"/>
      <c r="P41" s="292"/>
      <c r="Q41" s="286" t="s">
        <v>686</v>
      </c>
    </row>
    <row r="42" spans="2:18">
      <c r="O42" s="244"/>
      <c r="P42" s="292"/>
      <c r="Q42" s="286" t="s">
        <v>687</v>
      </c>
      <c r="R42" s="244"/>
    </row>
    <row r="43" spans="2:18">
      <c r="O43" s="244"/>
      <c r="P43" s="292"/>
      <c r="Q43" s="286" t="s">
        <v>688</v>
      </c>
      <c r="R43" s="244"/>
    </row>
    <row r="44" spans="2:18">
      <c r="O44" s="244"/>
      <c r="P44" s="292"/>
      <c r="Q44" s="286" t="s">
        <v>689</v>
      </c>
      <c r="R44" s="244"/>
    </row>
    <row r="45" spans="2:18">
      <c r="O45" s="244"/>
      <c r="P45" s="292"/>
      <c r="Q45" s="286" t="s">
        <v>690</v>
      </c>
      <c r="R45" s="244"/>
    </row>
    <row r="46" spans="2:18">
      <c r="O46" s="244"/>
      <c r="P46" s="292"/>
      <c r="Q46" s="286" t="s">
        <v>691</v>
      </c>
      <c r="R46" s="244"/>
    </row>
    <row r="47" spans="2:18">
      <c r="O47" s="244"/>
      <c r="P47" s="292"/>
      <c r="Q47" s="244"/>
      <c r="R47" s="244"/>
    </row>
    <row r="48" spans="2:18">
      <c r="O48" s="244"/>
      <c r="P48" s="292"/>
      <c r="Q48" s="227" t="s">
        <v>692</v>
      </c>
      <c r="R48" s="244"/>
    </row>
    <row r="49" spans="15:18">
      <c r="O49" s="244"/>
      <c r="P49" s="292"/>
      <c r="Q49" s="286" t="s">
        <v>693</v>
      </c>
      <c r="R49" s="244"/>
    </row>
    <row r="50" spans="15:18">
      <c r="O50" s="244"/>
      <c r="P50" s="292"/>
      <c r="Q50" s="286" t="s">
        <v>694</v>
      </c>
      <c r="R50" s="244"/>
    </row>
    <row r="51" spans="15:18">
      <c r="O51" s="244"/>
      <c r="P51" s="292"/>
      <c r="Q51" s="286" t="s">
        <v>695</v>
      </c>
      <c r="R51" s="244"/>
    </row>
    <row r="52" spans="15:18">
      <c r="O52" s="244"/>
      <c r="P52" s="292"/>
      <c r="Q52" s="286" t="s">
        <v>696</v>
      </c>
      <c r="R52" s="244"/>
    </row>
    <row r="53" spans="15:18">
      <c r="O53" s="244"/>
      <c r="P53" s="292"/>
      <c r="Q53" s="286" t="s">
        <v>697</v>
      </c>
      <c r="R53" s="244"/>
    </row>
    <row r="54" spans="15:18">
      <c r="O54" s="244"/>
      <c r="P54" s="292"/>
      <c r="Q54" s="286" t="s">
        <v>698</v>
      </c>
      <c r="R54" s="244"/>
    </row>
    <row r="55" spans="15:18">
      <c r="O55" s="244"/>
      <c r="P55" s="292"/>
      <c r="Q55" s="286" t="s">
        <v>699</v>
      </c>
      <c r="R55" s="244"/>
    </row>
    <row r="56" spans="15:18">
      <c r="O56" s="244"/>
      <c r="P56" s="292"/>
      <c r="Q56" s="286" t="s">
        <v>700</v>
      </c>
      <c r="R56" s="244"/>
    </row>
    <row r="57" spans="15:18">
      <c r="O57" s="244"/>
      <c r="P57" s="292"/>
      <c r="Q57" s="286" t="s">
        <v>701</v>
      </c>
      <c r="R57" s="244"/>
    </row>
    <row r="58" spans="15:18">
      <c r="O58" s="244"/>
      <c r="P58" s="292"/>
      <c r="Q58" s="378"/>
      <c r="R58" s="244"/>
    </row>
    <row r="59" spans="15:18">
      <c r="P59" s="292"/>
      <c r="Q59" s="377" t="s">
        <v>300</v>
      </c>
      <c r="R59" s="244"/>
    </row>
    <row r="60" spans="15:18">
      <c r="P60" s="292"/>
      <c r="Q60" s="378" t="s">
        <v>702</v>
      </c>
      <c r="R60" s="244"/>
    </row>
    <row r="61" spans="15:18">
      <c r="P61" s="292"/>
      <c r="Q61" s="378" t="s">
        <v>703</v>
      </c>
      <c r="R61" s="244"/>
    </row>
    <row r="62" spans="15:18">
      <c r="P62" s="292"/>
      <c r="Q62" s="375"/>
      <c r="R62" s="244"/>
    </row>
    <row r="63" spans="15:18">
      <c r="P63" s="292"/>
      <c r="Q63" s="377" t="s">
        <v>535</v>
      </c>
      <c r="R63" s="244"/>
    </row>
    <row r="64" spans="15:18">
      <c r="P64" s="292"/>
      <c r="Q64" s="242" t="s">
        <v>1463</v>
      </c>
      <c r="R64" s="244"/>
    </row>
    <row r="65" spans="16:17">
      <c r="P65" s="292"/>
      <c r="Q65" s="985" t="s">
        <v>1464</v>
      </c>
    </row>
    <row r="66" spans="16:17">
      <c r="P66" s="292"/>
      <c r="Q66" s="242" t="s">
        <v>677</v>
      </c>
    </row>
    <row r="67" spans="16:17">
      <c r="Q67" s="242" t="s">
        <v>683</v>
      </c>
    </row>
  </sheetData>
  <mergeCells count="3">
    <mergeCell ref="C21:L21"/>
    <mergeCell ref="C31:L31"/>
    <mergeCell ref="Q10:X10"/>
  </mergeCells>
  <dataValidations count="2">
    <dataValidation type="list" allowBlank="1" showInputMessage="1" showErrorMessage="1" sqref="N10:N11 N21:N22 N31:N32" xr:uid="{00000000-0002-0000-0D00-000000000000}">
      <formula1>choix</formula1>
    </dataValidation>
    <dataValidation type="list" allowBlank="1" showInputMessage="1" showErrorMessage="1" sqref="B33:B36 B12:B18 B23:B28 Q16:Q22 Q25:Q30 Q33:Q36" xr:uid="{00000000-0002-0000-0D00-000001000000}">
      <formula1>Choix_capacité</formula1>
    </dataValidation>
  </dataValidations>
  <pageMargins left="0.7" right="0.7" top="0.75" bottom="0.75" header="0.3" footer="0.3"/>
  <pageSetup paperSize="9" scale="27" orientation="portrait" verticalDpi="0"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5">
    <tabColor theme="5"/>
    <pageSetUpPr fitToPage="1"/>
  </sheetPr>
  <dimension ref="A3:Z57"/>
  <sheetViews>
    <sheetView topLeftCell="A14" zoomScale="80" zoomScaleNormal="80" workbookViewId="0">
      <selection activeCell="P4" sqref="P4:Z53"/>
    </sheetView>
  </sheetViews>
  <sheetFormatPr baseColWidth="10" defaultRowHeight="15"/>
  <cols>
    <col min="2" max="2" width="13.6640625" customWidth="1"/>
    <col min="3" max="3" width="15.5" customWidth="1"/>
    <col min="12" max="12" width="26" customWidth="1"/>
    <col min="13" max="14" width="13.5" bestFit="1" customWidth="1"/>
    <col min="16" max="16" width="16" customWidth="1"/>
    <col min="17" max="17" width="16.5" style="238" customWidth="1"/>
    <col min="22" max="22" width="18.1640625" customWidth="1"/>
    <col min="29" max="29" width="17.5" customWidth="1"/>
  </cols>
  <sheetData>
    <row r="3" spans="1:26" ht="16" thickBot="1"/>
    <row r="4" spans="1:26" ht="19">
      <c r="B4" s="270" t="s">
        <v>103</v>
      </c>
      <c r="C4" s="228" t="s">
        <v>126</v>
      </c>
      <c r="D4" s="229" t="s">
        <v>21</v>
      </c>
      <c r="E4" s="227" t="s">
        <v>20</v>
      </c>
      <c r="P4" s="270" t="s">
        <v>103</v>
      </c>
      <c r="Q4" s="228" t="s">
        <v>126</v>
      </c>
      <c r="R4" s="229" t="s">
        <v>21</v>
      </c>
      <c r="S4" s="671" t="s">
        <v>20</v>
      </c>
      <c r="T4" s="983"/>
    </row>
    <row r="5" spans="1:26">
      <c r="C5" s="230" t="s">
        <v>55</v>
      </c>
      <c r="D5" s="231">
        <v>2</v>
      </c>
      <c r="P5" s="983"/>
      <c r="Q5" s="230" t="s">
        <v>55</v>
      </c>
      <c r="R5" s="231">
        <v>2</v>
      </c>
      <c r="S5" s="983"/>
      <c r="T5" s="983"/>
    </row>
    <row r="6" spans="1:26" ht="16" thickBot="1">
      <c r="C6" s="232" t="s">
        <v>62</v>
      </c>
      <c r="D6" s="252">
        <v>31</v>
      </c>
      <c r="P6" s="983"/>
      <c r="Q6" s="232" t="s">
        <v>62</v>
      </c>
      <c r="R6" s="986">
        <v>31</v>
      </c>
      <c r="S6" s="983"/>
      <c r="T6" s="983"/>
    </row>
    <row r="7" spans="1:26" ht="16" thickBot="1">
      <c r="O7" s="680"/>
      <c r="P7" s="680"/>
      <c r="Q7" s="680"/>
      <c r="R7" s="680"/>
      <c r="S7" s="680"/>
      <c r="T7" s="680"/>
      <c r="U7" s="680"/>
      <c r="V7" s="680"/>
      <c r="W7" s="680"/>
      <c r="X7" s="680"/>
      <c r="Y7" s="680"/>
      <c r="Z7" s="680"/>
    </row>
    <row r="8" spans="1:26" ht="49" thickBot="1">
      <c r="M8" s="320" t="s">
        <v>125</v>
      </c>
      <c r="N8" s="320" t="s">
        <v>408</v>
      </c>
      <c r="O8" s="680"/>
      <c r="P8" s="680"/>
      <c r="Q8" s="680"/>
      <c r="R8" s="680"/>
      <c r="S8" s="680"/>
      <c r="T8" s="680"/>
      <c r="U8" s="680"/>
      <c r="V8" s="680"/>
      <c r="W8" s="680"/>
      <c r="X8" s="680"/>
      <c r="Y8" s="680"/>
      <c r="Z8" s="680"/>
    </row>
    <row r="9" spans="1:26" ht="17" thickBot="1">
      <c r="O9" s="680"/>
      <c r="P9" s="1075" t="s">
        <v>567</v>
      </c>
      <c r="Q9" s="1042"/>
      <c r="R9" s="1042"/>
      <c r="S9" s="1042"/>
      <c r="T9" s="1042"/>
      <c r="U9" s="1042"/>
      <c r="V9" s="1042"/>
      <c r="W9" s="1042"/>
      <c r="X9" s="680"/>
      <c r="Y9" s="680"/>
      <c r="Z9" s="680"/>
    </row>
    <row r="10" spans="1:26" ht="17" thickBot="1">
      <c r="A10" s="323" t="s">
        <v>127</v>
      </c>
      <c r="B10" s="234"/>
      <c r="C10" s="253" t="s">
        <v>124</v>
      </c>
      <c r="D10" s="254"/>
      <c r="E10" s="254"/>
      <c r="F10" s="254"/>
      <c r="G10" s="254"/>
      <c r="H10" s="254"/>
      <c r="I10" s="254"/>
      <c r="J10" s="254"/>
      <c r="K10" s="255"/>
      <c r="L10" s="239"/>
      <c r="M10" s="241">
        <v>2</v>
      </c>
      <c r="N10" s="321" t="s">
        <v>407</v>
      </c>
      <c r="O10" s="680"/>
      <c r="P10" s="702"/>
      <c r="Q10" s="781"/>
      <c r="R10" s="781"/>
      <c r="S10" s="781"/>
      <c r="T10" s="781"/>
      <c r="U10" s="781"/>
      <c r="V10" s="781"/>
      <c r="W10" s="680"/>
      <c r="X10" s="680"/>
      <c r="Y10" s="680"/>
      <c r="Z10" s="680"/>
    </row>
    <row r="11" spans="1:26" ht="16">
      <c r="B11" s="242" t="s">
        <v>410</v>
      </c>
      <c r="C11" s="793" t="s">
        <v>1346</v>
      </c>
      <c r="M11" s="225"/>
      <c r="N11" s="225"/>
      <c r="O11" s="680"/>
      <c r="P11" s="802" t="s">
        <v>784</v>
      </c>
      <c r="Q11" s="781"/>
      <c r="R11" s="781"/>
      <c r="S11" s="781"/>
      <c r="T11" s="781"/>
      <c r="U11" s="781"/>
      <c r="V11" s="781"/>
      <c r="W11" s="680"/>
      <c r="X11" s="680"/>
      <c r="Y11" s="680"/>
      <c r="Z11" s="680"/>
    </row>
    <row r="12" spans="1:26">
      <c r="B12" s="242" t="s">
        <v>410</v>
      </c>
      <c r="C12" s="787" t="s">
        <v>1347</v>
      </c>
      <c r="M12" s="225"/>
      <c r="N12" s="809" t="s">
        <v>409</v>
      </c>
      <c r="O12" s="680"/>
      <c r="P12" s="783" t="s">
        <v>124</v>
      </c>
      <c r="Q12" s="179"/>
      <c r="R12" s="179"/>
      <c r="S12" s="179"/>
      <c r="T12" s="680"/>
      <c r="U12" s="680"/>
      <c r="V12" s="680"/>
      <c r="W12" s="680"/>
      <c r="X12" s="680"/>
      <c r="Y12" s="680"/>
      <c r="Z12" s="680"/>
    </row>
    <row r="13" spans="1:26">
      <c r="B13" s="242" t="s">
        <v>410</v>
      </c>
      <c r="C13" s="787" t="s">
        <v>1348</v>
      </c>
      <c r="M13" s="225"/>
      <c r="N13" s="225"/>
      <c r="O13" s="680"/>
      <c r="P13" s="803" t="s">
        <v>410</v>
      </c>
      <c r="Q13" s="793" t="s">
        <v>1346</v>
      </c>
      <c r="R13" s="680"/>
      <c r="S13" s="680"/>
      <c r="T13" s="680"/>
      <c r="U13" s="680"/>
      <c r="V13" s="680"/>
      <c r="W13" s="680"/>
      <c r="X13" s="680"/>
      <c r="Y13" s="680"/>
      <c r="Z13" s="680"/>
    </row>
    <row r="14" spans="1:26">
      <c r="B14" s="242" t="s">
        <v>411</v>
      </c>
      <c r="C14" s="1074" t="s">
        <v>1349</v>
      </c>
      <c r="D14" s="1074"/>
      <c r="E14" s="1074"/>
      <c r="F14" s="1074"/>
      <c r="G14" s="1074"/>
      <c r="H14" s="1074"/>
      <c r="I14" s="1074"/>
      <c r="J14" s="1074"/>
      <c r="K14" s="1074"/>
      <c r="L14" s="1074"/>
      <c r="M14" s="225"/>
      <c r="N14" s="225"/>
      <c r="O14" s="680"/>
      <c r="P14" s="803" t="s">
        <v>410</v>
      </c>
      <c r="Q14" s="787" t="s">
        <v>1347</v>
      </c>
      <c r="R14" s="680"/>
      <c r="S14" s="680"/>
      <c r="T14" s="680"/>
      <c r="U14" s="680"/>
      <c r="V14" s="680"/>
      <c r="W14" s="680"/>
      <c r="X14" s="680"/>
      <c r="Y14" s="680"/>
      <c r="Z14" s="680"/>
    </row>
    <row r="15" spans="1:26" ht="15" customHeight="1">
      <c r="B15" s="242" t="s">
        <v>411</v>
      </c>
      <c r="C15" s="434" t="s">
        <v>1350</v>
      </c>
      <c r="D15" s="574"/>
      <c r="E15" s="574"/>
      <c r="F15" s="574"/>
      <c r="G15" s="574"/>
      <c r="H15" s="574"/>
      <c r="I15" s="574"/>
      <c r="J15" s="574"/>
      <c r="K15" s="574"/>
      <c r="L15" s="574"/>
      <c r="M15" s="225"/>
      <c r="N15" s="225"/>
      <c r="O15" s="680"/>
      <c r="P15" s="803" t="s">
        <v>410</v>
      </c>
      <c r="Q15" s="787" t="s">
        <v>1348</v>
      </c>
      <c r="R15" s="680"/>
      <c r="S15" s="680"/>
      <c r="T15" s="680"/>
      <c r="U15" s="680"/>
      <c r="V15" s="680"/>
      <c r="W15" s="680"/>
      <c r="X15" s="680"/>
      <c r="Y15" s="680"/>
      <c r="Z15" s="680"/>
    </row>
    <row r="16" spans="1:26">
      <c r="B16" s="242" t="s">
        <v>130</v>
      </c>
      <c r="C16" s="785" t="s">
        <v>1351</v>
      </c>
      <c r="M16" s="225"/>
      <c r="N16" s="225"/>
      <c r="O16" s="680"/>
      <c r="P16" s="803" t="s">
        <v>411</v>
      </c>
      <c r="Q16" s="1074" t="s">
        <v>1349</v>
      </c>
      <c r="R16" s="1074"/>
      <c r="S16" s="1074"/>
      <c r="T16" s="1074"/>
      <c r="U16" s="1074"/>
      <c r="V16" s="1074"/>
      <c r="W16" s="1074"/>
      <c r="X16" s="1074"/>
      <c r="Y16" s="1074"/>
      <c r="Z16" s="1074"/>
    </row>
    <row r="17" spans="1:26" ht="16" thickBot="1">
      <c r="M17" s="225"/>
      <c r="N17" s="225"/>
      <c r="O17" s="680"/>
      <c r="P17" s="803" t="s">
        <v>411</v>
      </c>
      <c r="Q17" s="434" t="s">
        <v>1350</v>
      </c>
      <c r="R17" s="794"/>
      <c r="S17" s="794"/>
      <c r="T17" s="794"/>
      <c r="U17" s="794"/>
      <c r="V17" s="794"/>
      <c r="W17" s="794"/>
      <c r="X17" s="794"/>
      <c r="Y17" s="794"/>
      <c r="Z17" s="794"/>
    </row>
    <row r="18" spans="1:26" ht="17" thickBot="1">
      <c r="A18" s="323" t="s">
        <v>128</v>
      </c>
      <c r="B18" s="234"/>
      <c r="C18" s="1038" t="s">
        <v>64</v>
      </c>
      <c r="D18" s="1039"/>
      <c r="E18" s="1039"/>
      <c r="F18" s="1039"/>
      <c r="G18" s="1039"/>
      <c r="H18" s="1039"/>
      <c r="I18" s="1039"/>
      <c r="J18" s="1039"/>
      <c r="K18" s="1039"/>
      <c r="L18" s="1039"/>
      <c r="M18" s="241">
        <v>2</v>
      </c>
      <c r="N18" s="321" t="s">
        <v>407</v>
      </c>
      <c r="O18" s="680"/>
      <c r="P18" s="695"/>
      <c r="Q18" s="781"/>
      <c r="R18" s="680"/>
      <c r="S18" s="680"/>
      <c r="T18" s="680"/>
      <c r="U18" s="680"/>
      <c r="V18" s="680"/>
      <c r="W18" s="680"/>
      <c r="X18" s="680"/>
      <c r="Y18" s="680"/>
      <c r="Z18" s="680"/>
    </row>
    <row r="19" spans="1:26">
      <c r="B19" s="242" t="s">
        <v>410</v>
      </c>
      <c r="C19" s="793" t="s">
        <v>1352</v>
      </c>
      <c r="M19" s="225"/>
      <c r="N19" s="225"/>
      <c r="O19" s="680"/>
      <c r="P19" s="783" t="s">
        <v>64</v>
      </c>
      <c r="Q19" s="781"/>
      <c r="R19" s="680"/>
      <c r="S19" s="680"/>
      <c r="T19" s="680"/>
      <c r="U19" s="680"/>
      <c r="V19" s="680"/>
      <c r="W19" s="680"/>
      <c r="X19" s="680"/>
      <c r="Y19" s="680"/>
      <c r="Z19" s="680"/>
    </row>
    <row r="20" spans="1:26">
      <c r="B20" s="242" t="s">
        <v>410</v>
      </c>
      <c r="C20" s="793" t="s">
        <v>1353</v>
      </c>
      <c r="M20" s="225"/>
      <c r="N20" s="225"/>
      <c r="P20" s="803" t="s">
        <v>410</v>
      </c>
      <c r="Q20" s="793" t="s">
        <v>1352</v>
      </c>
      <c r="R20" s="798"/>
      <c r="S20" s="798"/>
      <c r="T20" s="798"/>
      <c r="U20" s="798"/>
      <c r="V20" s="798"/>
      <c r="W20" s="798"/>
      <c r="X20" s="798"/>
      <c r="Y20" s="798"/>
      <c r="Z20" s="798"/>
    </row>
    <row r="21" spans="1:26">
      <c r="B21" s="242" t="s">
        <v>410</v>
      </c>
      <c r="C21" s="793" t="s">
        <v>1354</v>
      </c>
      <c r="M21" s="225"/>
      <c r="N21" s="225"/>
      <c r="P21" s="803" t="s">
        <v>410</v>
      </c>
      <c r="Q21" s="793" t="s">
        <v>1353</v>
      </c>
      <c r="R21" s="798"/>
      <c r="S21" s="798"/>
      <c r="T21" s="798"/>
      <c r="U21" s="798"/>
      <c r="V21" s="798"/>
      <c r="W21" s="798"/>
      <c r="X21" s="798"/>
      <c r="Y21" s="798"/>
      <c r="Z21" s="798"/>
    </row>
    <row r="22" spans="1:26">
      <c r="B22" s="242" t="s">
        <v>411</v>
      </c>
      <c r="C22" s="781" t="s">
        <v>146</v>
      </c>
      <c r="M22" s="225"/>
      <c r="N22" s="225"/>
      <c r="P22" s="803" t="s">
        <v>410</v>
      </c>
      <c r="Q22" s="793" t="s">
        <v>1354</v>
      </c>
      <c r="R22" s="798"/>
      <c r="S22" s="798"/>
      <c r="T22" s="798"/>
      <c r="U22" s="798"/>
      <c r="V22" s="798"/>
      <c r="W22" s="798"/>
      <c r="X22" s="798"/>
      <c r="Y22" s="798"/>
      <c r="Z22" s="798"/>
    </row>
    <row r="23" spans="1:26">
      <c r="B23" s="242" t="s">
        <v>411</v>
      </c>
      <c r="C23" s="781" t="s">
        <v>147</v>
      </c>
      <c r="P23" s="803" t="s">
        <v>411</v>
      </c>
      <c r="Q23" s="781" t="s">
        <v>146</v>
      </c>
      <c r="R23" s="788"/>
      <c r="S23" s="788"/>
      <c r="T23" s="788"/>
      <c r="U23" s="788"/>
      <c r="V23" s="788"/>
      <c r="W23" s="788"/>
      <c r="X23" s="788"/>
      <c r="Y23" s="788"/>
      <c r="Z23" s="788"/>
    </row>
    <row r="24" spans="1:26">
      <c r="B24" s="242" t="s">
        <v>411</v>
      </c>
      <c r="C24" s="781" t="s">
        <v>148</v>
      </c>
      <c r="P24" s="803" t="s">
        <v>411</v>
      </c>
      <c r="Q24" s="781" t="s">
        <v>147</v>
      </c>
      <c r="R24" s="799"/>
      <c r="S24" s="799"/>
      <c r="T24" s="799"/>
      <c r="U24" s="799"/>
      <c r="V24" s="799"/>
      <c r="W24" s="799"/>
      <c r="X24" s="799"/>
      <c r="Y24" s="799"/>
      <c r="Z24" s="799"/>
    </row>
    <row r="25" spans="1:26">
      <c r="B25" s="242" t="s">
        <v>130</v>
      </c>
      <c r="C25" s="497" t="s">
        <v>1355</v>
      </c>
      <c r="P25" s="803" t="s">
        <v>411</v>
      </c>
      <c r="Q25" s="781" t="s">
        <v>148</v>
      </c>
      <c r="R25" s="799"/>
      <c r="S25" s="799"/>
      <c r="T25" s="799"/>
      <c r="U25" s="799"/>
      <c r="V25" s="799"/>
      <c r="W25" s="799"/>
      <c r="X25" s="799"/>
      <c r="Y25" s="799"/>
      <c r="Z25" s="799"/>
    </row>
    <row r="26" spans="1:26" ht="15.75" customHeight="1" thickBot="1">
      <c r="P26" s="804"/>
      <c r="Q26" s="680"/>
      <c r="R26" s="680"/>
      <c r="S26" s="680"/>
      <c r="T26" s="680"/>
      <c r="U26" s="680"/>
      <c r="V26" s="680"/>
      <c r="W26" s="680"/>
      <c r="X26" s="680"/>
      <c r="Y26" s="680"/>
      <c r="Z26" s="680"/>
    </row>
    <row r="27" spans="1:26" ht="16.5" customHeight="1" thickBot="1">
      <c r="A27" s="323" t="s">
        <v>129</v>
      </c>
      <c r="B27" s="234"/>
      <c r="C27" s="1038" t="s">
        <v>71</v>
      </c>
      <c r="D27" s="1039"/>
      <c r="E27" s="1039"/>
      <c r="F27" s="1039"/>
      <c r="G27" s="1039"/>
      <c r="H27" s="1039"/>
      <c r="I27" s="1039"/>
      <c r="J27" s="1039"/>
      <c r="K27" s="1039"/>
      <c r="L27" s="1039"/>
      <c r="M27" s="241">
        <v>2</v>
      </c>
      <c r="N27" s="321" t="s">
        <v>407</v>
      </c>
      <c r="P27" s="783" t="s">
        <v>71</v>
      </c>
      <c r="Q27" s="781"/>
      <c r="R27" s="680"/>
      <c r="S27" s="680"/>
      <c r="T27" s="680"/>
      <c r="U27" s="680"/>
      <c r="V27" s="680"/>
      <c r="W27" s="680"/>
      <c r="X27" s="680"/>
      <c r="Y27" s="680"/>
      <c r="Z27" s="680"/>
    </row>
    <row r="28" spans="1:26">
      <c r="B28" s="242" t="s">
        <v>410</v>
      </c>
      <c r="C28" s="793" t="s">
        <v>1356</v>
      </c>
      <c r="M28" s="225"/>
      <c r="N28" s="225"/>
      <c r="P28" s="803" t="s">
        <v>410</v>
      </c>
      <c r="Q28" s="793" t="s">
        <v>1356</v>
      </c>
      <c r="R28" s="799"/>
      <c r="S28" s="799"/>
      <c r="T28" s="799"/>
      <c r="U28" s="799"/>
      <c r="V28" s="799"/>
      <c r="W28" s="799"/>
      <c r="X28" s="799"/>
      <c r="Y28" s="799"/>
      <c r="Z28" s="799"/>
    </row>
    <row r="29" spans="1:26">
      <c r="B29" s="242" t="s">
        <v>410</v>
      </c>
      <c r="C29" s="793" t="s">
        <v>1357</v>
      </c>
      <c r="M29" s="225"/>
      <c r="N29" s="225"/>
      <c r="P29" s="803" t="s">
        <v>410</v>
      </c>
      <c r="Q29" s="793" t="s">
        <v>1357</v>
      </c>
      <c r="R29" s="799"/>
      <c r="S29" s="799"/>
      <c r="T29" s="799"/>
      <c r="U29" s="799"/>
      <c r="V29" s="799"/>
      <c r="W29" s="799"/>
      <c r="X29" s="799"/>
      <c r="Y29" s="799"/>
      <c r="Z29" s="799"/>
    </row>
    <row r="30" spans="1:26">
      <c r="B30" s="242" t="s">
        <v>410</v>
      </c>
      <c r="C30" s="793" t="s">
        <v>1358</v>
      </c>
      <c r="M30" s="225"/>
      <c r="N30" s="225"/>
      <c r="P30" s="803" t="s">
        <v>410</v>
      </c>
      <c r="Q30" s="793" t="s">
        <v>1358</v>
      </c>
      <c r="R30" s="799"/>
      <c r="S30" s="799"/>
      <c r="T30" s="799"/>
      <c r="U30" s="799"/>
      <c r="V30" s="799"/>
      <c r="W30" s="799"/>
      <c r="X30" s="799"/>
      <c r="Y30" s="799"/>
      <c r="Z30" s="799"/>
    </row>
    <row r="31" spans="1:26">
      <c r="B31" s="242" t="s">
        <v>411</v>
      </c>
      <c r="C31" s="495" t="s">
        <v>1359</v>
      </c>
      <c r="M31" s="225"/>
      <c r="N31" s="225"/>
      <c r="P31" s="803" t="s">
        <v>411</v>
      </c>
      <c r="Q31" s="495" t="s">
        <v>1359</v>
      </c>
      <c r="R31" s="530"/>
      <c r="S31" s="530"/>
      <c r="T31" s="530"/>
      <c r="U31" s="530"/>
      <c r="V31" s="530"/>
      <c r="W31" s="530"/>
      <c r="X31" s="530"/>
      <c r="Y31" s="530"/>
      <c r="Z31" s="530"/>
    </row>
    <row r="32" spans="1:26">
      <c r="B32" s="242" t="s">
        <v>411</v>
      </c>
      <c r="C32" s="781" t="s">
        <v>147</v>
      </c>
      <c r="M32" s="225"/>
      <c r="N32" s="225"/>
      <c r="P32" s="803" t="s">
        <v>411</v>
      </c>
      <c r="Q32" s="781" t="s">
        <v>147</v>
      </c>
      <c r="R32" s="530"/>
      <c r="S32" s="530"/>
      <c r="T32" s="530"/>
      <c r="U32" s="530"/>
      <c r="V32" s="530"/>
      <c r="W32" s="530"/>
      <c r="X32" s="530"/>
      <c r="Y32" s="530"/>
      <c r="Z32" s="530"/>
    </row>
    <row r="33" spans="1:26">
      <c r="B33" s="242" t="s">
        <v>411</v>
      </c>
      <c r="C33" s="495" t="s">
        <v>1360</v>
      </c>
      <c r="M33" s="225"/>
      <c r="N33" s="225"/>
      <c r="P33" s="803" t="s">
        <v>411</v>
      </c>
      <c r="Q33" s="495" t="s">
        <v>1360</v>
      </c>
      <c r="R33" s="530"/>
      <c r="S33" s="530"/>
      <c r="T33" s="530"/>
      <c r="U33" s="530"/>
      <c r="V33" s="530"/>
      <c r="W33" s="530"/>
      <c r="X33" s="530"/>
      <c r="Y33" s="530"/>
      <c r="Z33" s="530"/>
    </row>
    <row r="34" spans="1:26">
      <c r="B34" s="242" t="s">
        <v>130</v>
      </c>
      <c r="C34" s="679" t="s">
        <v>1361</v>
      </c>
      <c r="M34" s="225"/>
      <c r="N34" s="225"/>
      <c r="P34" s="695"/>
      <c r="Q34" s="781"/>
      <c r="R34" s="680"/>
      <c r="S34" s="680"/>
      <c r="T34" s="680"/>
      <c r="U34" s="680"/>
      <c r="V34" s="680"/>
      <c r="W34" s="680"/>
      <c r="X34" s="680"/>
      <c r="Y34" s="680"/>
      <c r="Z34" s="680"/>
    </row>
    <row r="35" spans="1:26" ht="16" thickBot="1">
      <c r="O35" s="680"/>
      <c r="P35" s="695"/>
      <c r="Q35" s="781"/>
      <c r="R35" s="680"/>
      <c r="S35" s="680"/>
      <c r="T35" s="680"/>
      <c r="U35" s="680"/>
      <c r="V35" s="680"/>
      <c r="W35" s="680"/>
      <c r="X35" s="680"/>
      <c r="Y35" s="680"/>
      <c r="Z35" s="680"/>
    </row>
    <row r="36" spans="1:26" ht="17" thickBot="1">
      <c r="A36" s="323" t="s">
        <v>140</v>
      </c>
      <c r="B36" s="278"/>
      <c r="C36" s="253" t="s">
        <v>479</v>
      </c>
      <c r="D36" s="254"/>
      <c r="E36" s="254"/>
      <c r="F36" s="254"/>
      <c r="G36" s="254"/>
      <c r="H36" s="254"/>
      <c r="I36" s="254"/>
      <c r="J36" s="254"/>
      <c r="K36" s="254"/>
      <c r="L36" s="240"/>
      <c r="M36" s="279">
        <v>1</v>
      </c>
      <c r="N36" s="321" t="s">
        <v>407</v>
      </c>
      <c r="O36" s="680"/>
      <c r="P36" s="802" t="s">
        <v>186</v>
      </c>
      <c r="Q36" s="781"/>
      <c r="R36" s="680"/>
      <c r="S36" s="680"/>
      <c r="T36" s="680"/>
      <c r="U36" s="680"/>
      <c r="V36" s="680"/>
      <c r="W36" s="680"/>
      <c r="X36" s="680"/>
      <c r="Y36" s="680"/>
      <c r="Z36" s="680"/>
    </row>
    <row r="37" spans="1:26">
      <c r="B37" s="242" t="s">
        <v>410</v>
      </c>
      <c r="C37" s="793" t="s">
        <v>1362</v>
      </c>
      <c r="M37" s="225"/>
      <c r="N37" s="225"/>
      <c r="O37" s="680"/>
      <c r="P37" s="805" t="s">
        <v>258</v>
      </c>
      <c r="Q37" s="781"/>
      <c r="R37" s="680"/>
      <c r="S37" s="680"/>
      <c r="T37" s="680"/>
      <c r="U37" s="680"/>
      <c r="V37" s="680"/>
      <c r="W37" s="680"/>
      <c r="X37" s="680"/>
      <c r="Y37" s="680"/>
      <c r="Z37" s="680"/>
    </row>
    <row r="38" spans="1:26">
      <c r="B38" s="242" t="s">
        <v>410</v>
      </c>
      <c r="C38" s="787" t="s">
        <v>1363</v>
      </c>
      <c r="M38" s="225"/>
      <c r="N38" s="225"/>
      <c r="O38" s="680"/>
      <c r="P38" s="805" t="s">
        <v>259</v>
      </c>
      <c r="Q38" s="800"/>
      <c r="R38" s="800"/>
      <c r="S38" s="800"/>
      <c r="T38" s="800"/>
      <c r="U38" s="800"/>
      <c r="V38" s="800"/>
      <c r="W38" s="800"/>
      <c r="X38" s="800"/>
      <c r="Y38" s="800"/>
      <c r="Z38" s="680"/>
    </row>
    <row r="39" spans="1:26">
      <c r="B39" s="242" t="s">
        <v>411</v>
      </c>
      <c r="C39" s="495" t="s">
        <v>1360</v>
      </c>
      <c r="M39" s="225"/>
      <c r="N39" s="225"/>
      <c r="O39" s="680"/>
      <c r="P39" s="805" t="s">
        <v>260</v>
      </c>
      <c r="Q39" s="781"/>
      <c r="R39" s="680"/>
      <c r="S39" s="680"/>
      <c r="T39" s="680"/>
      <c r="U39" s="680"/>
      <c r="V39" s="680"/>
      <c r="W39" s="680"/>
      <c r="X39" s="680"/>
      <c r="Y39" s="680"/>
      <c r="Z39" s="680"/>
    </row>
    <row r="40" spans="1:26">
      <c r="B40" s="242" t="s">
        <v>411</v>
      </c>
      <c r="C40" s="666" t="s">
        <v>1364</v>
      </c>
      <c r="M40" s="225"/>
      <c r="N40" s="225"/>
      <c r="O40" s="680"/>
      <c r="P40" s="805" t="s">
        <v>261</v>
      </c>
      <c r="Q40" s="680"/>
      <c r="R40" s="680"/>
      <c r="S40" s="680"/>
      <c r="T40" s="680"/>
      <c r="U40" s="680"/>
      <c r="V40" s="680"/>
      <c r="W40" s="680"/>
      <c r="X40" s="680"/>
      <c r="Y40" s="680"/>
      <c r="Z40" s="680"/>
    </row>
    <row r="41" spans="1:26">
      <c r="B41" s="242" t="s">
        <v>130</v>
      </c>
      <c r="C41" s="679" t="s">
        <v>1365</v>
      </c>
      <c r="O41" s="680"/>
      <c r="P41" s="805" t="s">
        <v>262</v>
      </c>
      <c r="Q41" s="680"/>
      <c r="R41" s="680"/>
      <c r="S41" s="680"/>
      <c r="T41" s="680"/>
      <c r="U41" s="680"/>
      <c r="V41" s="680"/>
      <c r="W41" s="680"/>
      <c r="X41" s="680"/>
      <c r="Y41" s="680"/>
      <c r="Z41" s="680"/>
    </row>
    <row r="42" spans="1:26">
      <c r="O42" s="680"/>
      <c r="P42" s="805" t="s">
        <v>263</v>
      </c>
      <c r="Q42" s="680"/>
      <c r="R42" s="680"/>
      <c r="S42" s="680"/>
      <c r="T42" s="680"/>
      <c r="U42" s="680"/>
      <c r="V42" s="680"/>
      <c r="W42" s="680"/>
      <c r="X42" s="680"/>
      <c r="Y42" s="680"/>
      <c r="Z42" s="680"/>
    </row>
    <row r="43" spans="1:26">
      <c r="O43" s="680"/>
      <c r="P43" s="805" t="s">
        <v>264</v>
      </c>
      <c r="Q43" s="781"/>
      <c r="R43" s="680"/>
      <c r="S43" s="680"/>
      <c r="T43" s="680"/>
      <c r="U43" s="680"/>
      <c r="V43" s="680"/>
      <c r="W43" s="680"/>
      <c r="X43" s="680"/>
      <c r="Y43" s="680"/>
      <c r="Z43" s="680"/>
    </row>
    <row r="44" spans="1:26">
      <c r="O44" s="680"/>
      <c r="P44" s="805" t="s">
        <v>1367</v>
      </c>
      <c r="Q44" s="781"/>
      <c r="R44" s="680"/>
      <c r="S44" s="680"/>
      <c r="T44" s="680"/>
      <c r="U44" s="680"/>
      <c r="V44" s="680"/>
      <c r="W44" s="680"/>
      <c r="X44" s="680"/>
      <c r="Y44" s="680"/>
      <c r="Z44" s="680"/>
    </row>
    <row r="45" spans="1:26">
      <c r="G45" s="671"/>
      <c r="H45" s="238"/>
      <c r="O45" s="680"/>
      <c r="P45" s="805" t="s">
        <v>265</v>
      </c>
      <c r="Q45" s="781"/>
      <c r="R45" s="680"/>
      <c r="S45" s="680"/>
      <c r="T45" s="680"/>
      <c r="U45" s="680"/>
      <c r="V45" s="680"/>
      <c r="W45" s="680"/>
      <c r="X45" s="680"/>
      <c r="Y45" s="680"/>
      <c r="Z45" s="680"/>
    </row>
    <row r="46" spans="1:26">
      <c r="H46" s="238"/>
      <c r="O46" s="680"/>
      <c r="P46" s="805" t="s">
        <v>266</v>
      </c>
      <c r="Q46" s="781"/>
      <c r="R46" s="680"/>
      <c r="S46" s="680"/>
      <c r="T46" s="680"/>
      <c r="U46" s="680"/>
      <c r="V46" s="680"/>
      <c r="W46" s="680"/>
      <c r="X46" s="680"/>
      <c r="Y46" s="680"/>
      <c r="Z46" s="680"/>
    </row>
    <row r="47" spans="1:26">
      <c r="H47" s="238"/>
      <c r="P47" s="805" t="s">
        <v>1368</v>
      </c>
      <c r="Q47" s="781"/>
      <c r="R47" s="680"/>
      <c r="S47" s="680"/>
      <c r="T47" s="680"/>
      <c r="U47" s="680"/>
      <c r="V47" s="680"/>
      <c r="W47" s="680"/>
      <c r="X47" s="680"/>
      <c r="Y47" s="680"/>
      <c r="Z47" s="680"/>
    </row>
    <row r="48" spans="1:26">
      <c r="H48" s="238"/>
      <c r="P48" s="695"/>
      <c r="Q48" s="781"/>
      <c r="R48" s="680"/>
      <c r="S48" s="680"/>
      <c r="T48" s="680"/>
      <c r="U48" s="680"/>
      <c r="V48" s="680"/>
      <c r="W48" s="680"/>
      <c r="X48" s="680"/>
      <c r="Y48" s="680"/>
      <c r="Z48" s="680"/>
    </row>
    <row r="49" spans="8:26">
      <c r="H49" s="238"/>
      <c r="P49" s="806" t="s">
        <v>535</v>
      </c>
      <c r="Q49" s="781"/>
      <c r="R49" s="680"/>
      <c r="S49" s="680"/>
      <c r="T49" s="680"/>
      <c r="U49" s="680"/>
      <c r="V49" s="680"/>
      <c r="W49" s="680"/>
      <c r="X49" s="680"/>
      <c r="Y49" s="680"/>
      <c r="Z49" s="680"/>
    </row>
    <row r="50" spans="8:26">
      <c r="H50" s="238"/>
      <c r="P50" s="807" t="s">
        <v>1351</v>
      </c>
      <c r="Q50" s="683"/>
      <c r="R50" s="683"/>
      <c r="S50" s="683"/>
      <c r="T50" s="683"/>
      <c r="U50" s="683"/>
      <c r="V50" s="683"/>
      <c r="W50" s="683"/>
      <c r="X50" s="683"/>
      <c r="Y50" s="680"/>
      <c r="Z50" s="680"/>
    </row>
    <row r="51" spans="8:26">
      <c r="H51" s="238"/>
      <c r="P51" s="806" t="s">
        <v>1355</v>
      </c>
      <c r="Q51" s="399"/>
      <c r="R51" s="399"/>
      <c r="S51" s="399"/>
      <c r="T51" s="399"/>
      <c r="U51" s="399"/>
      <c r="V51" s="399"/>
      <c r="W51" s="399"/>
      <c r="X51" s="399"/>
      <c r="Y51" s="683"/>
      <c r="Z51" s="680"/>
    </row>
    <row r="52" spans="8:26">
      <c r="H52" s="238"/>
      <c r="P52" s="808" t="s">
        <v>1361</v>
      </c>
      <c r="Q52" s="399"/>
      <c r="R52" s="399"/>
      <c r="S52" s="399"/>
      <c r="T52" s="399"/>
      <c r="U52" s="399"/>
      <c r="V52" s="399"/>
      <c r="W52" s="399"/>
      <c r="X52" s="399"/>
      <c r="Y52" s="399"/>
      <c r="Z52" s="680"/>
    </row>
    <row r="53" spans="8:26">
      <c r="H53" s="238"/>
      <c r="P53" s="808" t="s">
        <v>1365</v>
      </c>
      <c r="Y53" s="399"/>
      <c r="Z53" s="680"/>
    </row>
    <row r="54" spans="8:26">
      <c r="H54" s="238"/>
    </row>
    <row r="55" spans="8:26">
      <c r="H55" s="238"/>
    </row>
    <row r="56" spans="8:26">
      <c r="H56" s="238"/>
    </row>
    <row r="57" spans="8:26">
      <c r="H57" s="238"/>
    </row>
  </sheetData>
  <mergeCells count="5">
    <mergeCell ref="C18:L18"/>
    <mergeCell ref="C27:L27"/>
    <mergeCell ref="C14:L14"/>
    <mergeCell ref="P9:W9"/>
    <mergeCell ref="Q16:Z16"/>
  </mergeCells>
  <dataValidations count="2">
    <dataValidation type="list" allowBlank="1" showInputMessage="1" showErrorMessage="1" sqref="N10 N18 N27 N36" xr:uid="{00000000-0002-0000-0E00-000000000000}">
      <formula1>choix</formula1>
    </dataValidation>
    <dataValidation type="list" allowBlank="1" showInputMessage="1" showErrorMessage="1" sqref="B11:B15 B19:B24 B28:B33 B37:B40 P28:P33 P13:P17 P20:P25" xr:uid="{00000000-0002-0000-0E00-000001000000}">
      <formula1>Choix_capacité</formula1>
    </dataValidation>
  </dataValidations>
  <pageMargins left="0.7" right="0.7" top="0.75" bottom="0.75" header="0.3" footer="0.3"/>
  <pageSetup paperSize="9" scale="25" orientation="portrait" verticalDpi="0"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6">
    <tabColor theme="6"/>
    <pageSetUpPr fitToPage="1"/>
  </sheetPr>
  <dimension ref="A3:V61"/>
  <sheetViews>
    <sheetView tabSelected="1" zoomScale="80" zoomScaleNormal="80" workbookViewId="0">
      <selection activeCell="E56" sqref="E56"/>
    </sheetView>
  </sheetViews>
  <sheetFormatPr baseColWidth="10" defaultRowHeight="15"/>
  <cols>
    <col min="2" max="2" width="13.6640625" customWidth="1"/>
    <col min="3" max="3" width="15.6640625" customWidth="1"/>
    <col min="11" max="12" width="13.5" bestFit="1" customWidth="1"/>
    <col min="14" max="14" width="11.5" style="238"/>
    <col min="16" max="16" width="16.1640625" customWidth="1"/>
    <col min="19" max="19" width="16.1640625" customWidth="1"/>
    <col min="26" max="26" width="17.5" customWidth="1"/>
  </cols>
  <sheetData>
    <row r="3" spans="1:22" ht="16" thickBot="1"/>
    <row r="4" spans="1:22" ht="19">
      <c r="B4" s="271" t="s">
        <v>104</v>
      </c>
      <c r="C4" s="228" t="s">
        <v>126</v>
      </c>
      <c r="D4" s="229" t="s">
        <v>87</v>
      </c>
      <c r="E4" s="227" t="s">
        <v>86</v>
      </c>
      <c r="O4" s="271" t="s">
        <v>104</v>
      </c>
      <c r="P4" s="228" t="s">
        <v>126</v>
      </c>
      <c r="Q4" s="229" t="s">
        <v>87</v>
      </c>
      <c r="R4" s="671" t="s">
        <v>86</v>
      </c>
      <c r="S4" s="983"/>
    </row>
    <row r="5" spans="1:22">
      <c r="C5" s="230" t="s">
        <v>55</v>
      </c>
      <c r="D5" s="231">
        <v>3</v>
      </c>
      <c r="O5" s="983"/>
      <c r="P5" s="230" t="s">
        <v>55</v>
      </c>
      <c r="Q5" s="231">
        <v>3</v>
      </c>
      <c r="R5" s="983"/>
      <c r="S5" s="983"/>
    </row>
    <row r="6" spans="1:22" ht="16" thickBot="1">
      <c r="C6" s="232" t="s">
        <v>62</v>
      </c>
      <c r="D6" s="252">
        <v>35</v>
      </c>
      <c r="O6" s="983"/>
      <c r="P6" s="232" t="s">
        <v>62</v>
      </c>
      <c r="Q6" s="986">
        <v>35</v>
      </c>
      <c r="R6" s="983"/>
      <c r="S6" s="983"/>
    </row>
    <row r="7" spans="1:22" ht="16" thickBot="1">
      <c r="N7"/>
    </row>
    <row r="8" spans="1:22" ht="49" thickBot="1">
      <c r="A8" s="283" t="s">
        <v>79</v>
      </c>
      <c r="K8" s="320" t="s">
        <v>125</v>
      </c>
      <c r="L8" s="320" t="s">
        <v>408</v>
      </c>
      <c r="N8"/>
    </row>
    <row r="9" spans="1:22" ht="17" thickBot="1">
      <c r="N9"/>
      <c r="O9" s="1041" t="s">
        <v>567</v>
      </c>
      <c r="P9" s="1042"/>
      <c r="Q9" s="1042"/>
      <c r="R9" s="1042"/>
      <c r="S9" s="1042"/>
      <c r="T9" s="1042"/>
      <c r="U9" s="1042"/>
      <c r="V9" s="1042"/>
    </row>
    <row r="10" spans="1:22" ht="17" thickBot="1">
      <c r="A10" s="664" t="s">
        <v>127</v>
      </c>
      <c r="B10" s="654"/>
      <c r="C10" s="655" t="s">
        <v>492</v>
      </c>
      <c r="D10" s="656"/>
      <c r="E10" s="656"/>
      <c r="F10" s="656"/>
      <c r="G10" s="656"/>
      <c r="H10" s="656"/>
      <c r="I10" s="656"/>
      <c r="J10" s="657"/>
      <c r="K10" s="658">
        <v>2</v>
      </c>
      <c r="L10" s="663" t="s">
        <v>407</v>
      </c>
      <c r="N10"/>
      <c r="O10" s="695"/>
    </row>
    <row r="11" spans="1:22">
      <c r="A11" s="652"/>
      <c r="B11" s="659" t="s">
        <v>410</v>
      </c>
      <c r="C11" s="715" t="s">
        <v>1160</v>
      </c>
      <c r="D11" s="652"/>
      <c r="E11" s="652"/>
      <c r="F11" s="652"/>
      <c r="G11" s="652"/>
      <c r="H11" s="652"/>
      <c r="I11" s="652"/>
      <c r="J11" s="652"/>
      <c r="K11" s="653"/>
      <c r="L11" s="652"/>
      <c r="N11"/>
      <c r="O11" s="700" t="s">
        <v>1197</v>
      </c>
      <c r="P11" s="685"/>
      <c r="Q11" s="685"/>
      <c r="R11" s="685"/>
      <c r="S11" s="685"/>
      <c r="T11" s="685"/>
      <c r="U11" s="652"/>
    </row>
    <row r="12" spans="1:22">
      <c r="A12" s="652"/>
      <c r="B12" s="659" t="s">
        <v>410</v>
      </c>
      <c r="C12" s="715" t="s">
        <v>1161</v>
      </c>
      <c r="D12" s="652"/>
      <c r="E12" s="652"/>
      <c r="F12" s="652"/>
      <c r="G12" s="652"/>
      <c r="H12" s="652"/>
      <c r="I12" s="652"/>
      <c r="J12" s="652"/>
      <c r="K12" s="653"/>
      <c r="L12" s="652"/>
      <c r="N12"/>
      <c r="O12" s="705" t="s">
        <v>492</v>
      </c>
      <c r="P12" s="683"/>
      <c r="Q12" s="683"/>
      <c r="R12" s="683"/>
      <c r="S12" s="683"/>
      <c r="T12" s="683"/>
      <c r="U12" s="652"/>
    </row>
    <row r="13" spans="1:22">
      <c r="A13" s="652"/>
      <c r="B13" s="659" t="s">
        <v>410</v>
      </c>
      <c r="C13" s="715" t="s">
        <v>1162</v>
      </c>
      <c r="D13" s="652"/>
      <c r="E13" s="652"/>
      <c r="F13" s="652"/>
      <c r="G13" s="652"/>
      <c r="H13" s="652"/>
      <c r="I13" s="652"/>
      <c r="J13" s="652"/>
      <c r="K13" s="653"/>
      <c r="L13" s="652"/>
      <c r="N13"/>
      <c r="O13" s="701" t="s">
        <v>1160</v>
      </c>
      <c r="P13" s="684"/>
      <c r="Q13" s="667"/>
      <c r="R13" s="667"/>
      <c r="S13" s="667"/>
      <c r="T13" s="667"/>
      <c r="U13" s="652"/>
    </row>
    <row r="14" spans="1:22">
      <c r="A14" s="652"/>
      <c r="B14" s="659" t="s">
        <v>411</v>
      </c>
      <c r="C14" s="652" t="s">
        <v>1163</v>
      </c>
      <c r="D14" s="652"/>
      <c r="E14" s="652"/>
      <c r="F14" s="652"/>
      <c r="G14" s="652"/>
      <c r="H14" s="652"/>
      <c r="I14" s="652"/>
      <c r="J14" s="652"/>
      <c r="K14" s="653"/>
      <c r="L14" s="652"/>
      <c r="N14"/>
      <c r="O14" s="701" t="s">
        <v>1161</v>
      </c>
      <c r="P14" s="684"/>
      <c r="Q14" s="667"/>
      <c r="R14" s="667"/>
      <c r="S14" s="667"/>
      <c r="T14" s="667"/>
      <c r="U14" s="652"/>
    </row>
    <row r="15" spans="1:22">
      <c r="A15" s="652"/>
      <c r="B15" s="659" t="s">
        <v>411</v>
      </c>
      <c r="C15" s="652" t="s">
        <v>1179</v>
      </c>
      <c r="D15" s="652"/>
      <c r="E15" s="652"/>
      <c r="F15" s="652"/>
      <c r="G15" s="652"/>
      <c r="H15" s="652"/>
      <c r="I15" s="652"/>
      <c r="J15" s="652"/>
      <c r="K15" s="653"/>
      <c r="L15" s="652"/>
      <c r="N15"/>
      <c r="O15" s="701" t="s">
        <v>1162</v>
      </c>
      <c r="P15" s="684"/>
      <c r="Q15" s="667"/>
      <c r="R15" s="667"/>
      <c r="S15" s="667"/>
      <c r="T15" s="667"/>
      <c r="U15" s="652"/>
    </row>
    <row r="16" spans="1:22">
      <c r="A16" s="652"/>
      <c r="B16" s="659" t="s">
        <v>411</v>
      </c>
      <c r="C16" s="652" t="s">
        <v>1180</v>
      </c>
      <c r="D16" s="652"/>
      <c r="E16" s="652"/>
      <c r="F16" s="652"/>
      <c r="G16" s="652"/>
      <c r="H16" s="652"/>
      <c r="I16" s="652"/>
      <c r="J16" s="652"/>
      <c r="K16" s="653"/>
      <c r="L16" s="652"/>
      <c r="N16"/>
      <c r="O16" s="706" t="s">
        <v>491</v>
      </c>
      <c r="P16" s="684"/>
      <c r="Q16" s="667"/>
      <c r="R16" s="667"/>
      <c r="S16" s="667"/>
      <c r="T16" s="667"/>
      <c r="U16" s="652"/>
    </row>
    <row r="17" spans="1:21">
      <c r="A17" s="652"/>
      <c r="B17" s="659" t="s">
        <v>130</v>
      </c>
      <c r="C17" s="652" t="s">
        <v>1166</v>
      </c>
      <c r="D17" s="652" t="s">
        <v>1167</v>
      </c>
      <c r="E17" s="652" t="s">
        <v>1168</v>
      </c>
      <c r="F17" s="652"/>
      <c r="G17" s="652"/>
      <c r="H17" s="652"/>
      <c r="I17" s="652"/>
      <c r="J17" s="652"/>
      <c r="K17" s="653"/>
      <c r="L17" s="652"/>
      <c r="N17"/>
      <c r="O17" s="701" t="s">
        <v>1198</v>
      </c>
      <c r="P17" s="684"/>
      <c r="Q17" s="666"/>
      <c r="R17" s="666"/>
      <c r="S17" s="666"/>
      <c r="T17" s="666"/>
      <c r="U17" s="652"/>
    </row>
    <row r="18" spans="1:21" ht="16" thickBot="1">
      <c r="A18" s="652"/>
      <c r="B18" s="652"/>
      <c r="C18" s="652"/>
      <c r="D18" s="652"/>
      <c r="E18" s="652"/>
      <c r="F18" s="652"/>
      <c r="G18" s="652"/>
      <c r="H18" s="652"/>
      <c r="I18" s="652"/>
      <c r="J18" s="652"/>
      <c r="K18" s="653"/>
      <c r="L18" s="652"/>
      <c r="N18"/>
      <c r="O18" s="701" t="s">
        <v>1181</v>
      </c>
      <c r="P18" s="684"/>
      <c r="Q18" s="666"/>
      <c r="R18" s="666"/>
      <c r="S18" s="666"/>
      <c r="T18" s="666"/>
      <c r="U18" s="652"/>
    </row>
    <row r="19" spans="1:21" ht="17" thickBot="1">
      <c r="A19" s="664" t="s">
        <v>128</v>
      </c>
      <c r="B19" s="654"/>
      <c r="C19" s="1038" t="s">
        <v>491</v>
      </c>
      <c r="D19" s="1039"/>
      <c r="E19" s="1039"/>
      <c r="F19" s="1039"/>
      <c r="G19" s="1039"/>
      <c r="H19" s="1039"/>
      <c r="I19" s="1039"/>
      <c r="J19" s="1039"/>
      <c r="K19" s="658">
        <v>2</v>
      </c>
      <c r="L19" s="663" t="s">
        <v>407</v>
      </c>
      <c r="N19"/>
      <c r="O19" s="701" t="s">
        <v>1182</v>
      </c>
      <c r="P19" s="684"/>
      <c r="Q19" s="666"/>
      <c r="R19" s="666"/>
      <c r="S19" s="666"/>
      <c r="T19" s="666"/>
      <c r="U19" s="652"/>
    </row>
    <row r="20" spans="1:21">
      <c r="A20" s="652"/>
      <c r="B20" s="659" t="s">
        <v>410</v>
      </c>
      <c r="C20" s="715" t="s">
        <v>1161</v>
      </c>
      <c r="D20" s="652"/>
      <c r="E20" s="652"/>
      <c r="F20" s="652"/>
      <c r="G20" s="652"/>
      <c r="H20" s="652"/>
      <c r="I20" s="652"/>
      <c r="J20" s="652"/>
      <c r="K20" s="653"/>
      <c r="L20" s="652"/>
      <c r="N20"/>
      <c r="O20" s="706" t="s">
        <v>495</v>
      </c>
      <c r="P20" s="684"/>
      <c r="Q20" s="666"/>
      <c r="R20" s="666"/>
      <c r="S20" s="666"/>
      <c r="T20" s="666"/>
      <c r="U20" s="652"/>
    </row>
    <row r="21" spans="1:21">
      <c r="A21" s="652"/>
      <c r="B21" s="659" t="s">
        <v>410</v>
      </c>
      <c r="C21" s="715" t="s">
        <v>1181</v>
      </c>
      <c r="D21" s="652"/>
      <c r="E21" s="652"/>
      <c r="F21" s="652"/>
      <c r="G21" s="652"/>
      <c r="H21" s="652"/>
      <c r="I21" s="652"/>
      <c r="J21" s="652"/>
      <c r="K21" s="653"/>
      <c r="L21" s="652"/>
      <c r="N21"/>
      <c r="O21" s="701" t="s">
        <v>1184</v>
      </c>
      <c r="P21" s="684"/>
      <c r="Q21" s="666"/>
      <c r="R21" s="666"/>
      <c r="S21" s="666"/>
      <c r="T21" s="666"/>
      <c r="U21" s="652"/>
    </row>
    <row r="22" spans="1:21">
      <c r="A22" s="652"/>
      <c r="B22" s="659" t="s">
        <v>410</v>
      </c>
      <c r="C22" s="715" t="s">
        <v>1182</v>
      </c>
      <c r="D22" s="652"/>
      <c r="E22" s="652"/>
      <c r="F22" s="652"/>
      <c r="G22" s="652"/>
      <c r="H22" s="652"/>
      <c r="I22" s="652"/>
      <c r="J22" s="652"/>
      <c r="K22" s="653"/>
      <c r="L22" s="652"/>
      <c r="N22"/>
      <c r="O22" s="702" t="s">
        <v>1185</v>
      </c>
      <c r="P22" s="684"/>
      <c r="Q22" s="666"/>
      <c r="R22" s="666"/>
      <c r="S22" s="666"/>
      <c r="T22" s="666"/>
      <c r="U22" s="652"/>
    </row>
    <row r="23" spans="1:21">
      <c r="A23" s="652"/>
      <c r="B23" s="659" t="s">
        <v>411</v>
      </c>
      <c r="C23" s="652" t="s">
        <v>1183</v>
      </c>
      <c r="D23" s="652"/>
      <c r="E23" s="652"/>
      <c r="F23" s="652"/>
      <c r="G23" s="652"/>
      <c r="H23" s="652"/>
      <c r="I23" s="652"/>
      <c r="J23" s="652"/>
      <c r="K23" s="653"/>
      <c r="L23" s="652"/>
      <c r="N23"/>
      <c r="O23" s="706" t="s">
        <v>494</v>
      </c>
      <c r="P23" s="684"/>
      <c r="Q23" s="666"/>
      <c r="R23" s="666"/>
      <c r="S23" s="666"/>
      <c r="T23" s="666"/>
      <c r="U23" s="652"/>
    </row>
    <row r="24" spans="1:21">
      <c r="A24" s="652"/>
      <c r="B24" s="659" t="s">
        <v>130</v>
      </c>
      <c r="C24" s="652" t="s">
        <v>1183</v>
      </c>
      <c r="D24" s="652"/>
      <c r="E24" s="652"/>
      <c r="F24" s="652"/>
      <c r="G24" s="652"/>
      <c r="H24" s="652"/>
      <c r="I24" s="652"/>
      <c r="J24" s="652"/>
      <c r="K24" s="652"/>
      <c r="L24" s="652"/>
      <c r="N24"/>
      <c r="O24" s="701" t="s">
        <v>1189</v>
      </c>
      <c r="P24" s="684"/>
      <c r="Q24" s="666"/>
      <c r="R24" s="666"/>
      <c r="S24" s="666"/>
      <c r="T24" s="666"/>
      <c r="U24" s="652"/>
    </row>
    <row r="25" spans="1:21" ht="16" thickBot="1">
      <c r="A25" s="652"/>
      <c r="B25" s="652"/>
      <c r="C25" s="652"/>
      <c r="D25" s="652"/>
      <c r="E25" s="652"/>
      <c r="F25" s="652"/>
      <c r="G25" s="652"/>
      <c r="H25" s="652"/>
      <c r="I25" s="652"/>
      <c r="J25" s="652"/>
      <c r="K25" s="652"/>
      <c r="L25" s="652"/>
      <c r="N25"/>
      <c r="O25" s="701" t="s">
        <v>1190</v>
      </c>
      <c r="P25" s="685"/>
      <c r="Q25" s="666"/>
      <c r="R25" s="666"/>
      <c r="S25" s="666"/>
      <c r="T25" s="666"/>
      <c r="U25" s="652"/>
    </row>
    <row r="26" spans="1:21" ht="17" thickBot="1">
      <c r="A26" s="664" t="s">
        <v>129</v>
      </c>
      <c r="B26" s="654"/>
      <c r="C26" s="1038" t="s">
        <v>495</v>
      </c>
      <c r="D26" s="1039"/>
      <c r="E26" s="1039"/>
      <c r="F26" s="1039"/>
      <c r="G26" s="1039"/>
      <c r="H26" s="1039"/>
      <c r="I26" s="1039"/>
      <c r="J26" s="1039"/>
      <c r="K26" s="658">
        <v>2</v>
      </c>
      <c r="L26" s="663" t="s">
        <v>407</v>
      </c>
      <c r="N26"/>
      <c r="O26" s="702" t="s">
        <v>1191</v>
      </c>
      <c r="P26" s="685"/>
      <c r="Q26" s="666"/>
      <c r="R26" s="666"/>
      <c r="S26" s="666"/>
      <c r="T26" s="666"/>
      <c r="U26" s="652"/>
    </row>
    <row r="27" spans="1:21">
      <c r="A27" s="652"/>
      <c r="B27" s="659" t="s">
        <v>410</v>
      </c>
      <c r="C27" s="715" t="s">
        <v>1184</v>
      </c>
      <c r="D27" s="652"/>
      <c r="E27" s="652"/>
      <c r="F27" s="652"/>
      <c r="G27" s="652"/>
      <c r="H27" s="652"/>
      <c r="I27" s="652"/>
      <c r="J27" s="652"/>
      <c r="K27" s="653"/>
      <c r="L27" s="652"/>
      <c r="N27"/>
      <c r="O27" s="706" t="s">
        <v>496</v>
      </c>
      <c r="P27" s="666"/>
      <c r="Q27" s="666"/>
      <c r="R27" s="666"/>
      <c r="S27" s="666"/>
      <c r="T27" s="666"/>
      <c r="U27" s="652"/>
    </row>
    <row r="28" spans="1:21">
      <c r="A28" s="652"/>
      <c r="B28" s="659" t="s">
        <v>410</v>
      </c>
      <c r="C28" s="715" t="s">
        <v>1185</v>
      </c>
      <c r="D28" s="652"/>
      <c r="E28" s="652"/>
      <c r="F28" s="652"/>
      <c r="G28" s="652"/>
      <c r="H28" s="652"/>
      <c r="I28" s="652"/>
      <c r="J28" s="652"/>
      <c r="K28" s="653"/>
      <c r="L28" s="652"/>
      <c r="N28"/>
      <c r="O28" s="701" t="s">
        <v>1193</v>
      </c>
      <c r="P28" s="666"/>
      <c r="Q28" s="666"/>
      <c r="R28" s="666"/>
      <c r="S28" s="666"/>
      <c r="T28" s="666"/>
      <c r="U28" s="652"/>
    </row>
    <row r="29" spans="1:21">
      <c r="A29" s="652"/>
      <c r="B29" s="659" t="s">
        <v>411</v>
      </c>
      <c r="C29" s="652" t="s">
        <v>1186</v>
      </c>
      <c r="D29" s="652"/>
      <c r="E29" s="652"/>
      <c r="F29" s="652"/>
      <c r="G29" s="652"/>
      <c r="H29" s="652"/>
      <c r="I29" s="652"/>
      <c r="J29" s="652"/>
      <c r="K29" s="653"/>
      <c r="L29" s="652"/>
      <c r="N29"/>
      <c r="O29" s="701" t="s">
        <v>1194</v>
      </c>
      <c r="P29" s="666"/>
      <c r="Q29" s="666"/>
      <c r="R29" s="666"/>
      <c r="S29" s="666"/>
      <c r="T29" s="666"/>
      <c r="U29" s="652"/>
    </row>
    <row r="30" spans="1:21">
      <c r="A30" s="652"/>
      <c r="B30" s="659" t="s">
        <v>411</v>
      </c>
      <c r="C30" s="652" t="s">
        <v>1187</v>
      </c>
      <c r="D30" s="652"/>
      <c r="E30" s="652"/>
      <c r="F30" s="652"/>
      <c r="G30" s="652"/>
      <c r="H30" s="652"/>
      <c r="I30" s="652"/>
      <c r="J30" s="652"/>
      <c r="K30" s="652"/>
      <c r="L30" s="652"/>
      <c r="N30"/>
      <c r="O30" s="695"/>
      <c r="P30" s="666"/>
      <c r="Q30" s="666"/>
      <c r="R30" s="666"/>
      <c r="S30" s="666"/>
      <c r="T30" s="666"/>
      <c r="U30" s="652"/>
    </row>
    <row r="31" spans="1:21">
      <c r="A31" s="652"/>
      <c r="B31" s="659" t="s">
        <v>130</v>
      </c>
      <c r="C31" s="652" t="s">
        <v>1188</v>
      </c>
      <c r="D31" s="652"/>
      <c r="E31" s="652"/>
      <c r="F31" s="652"/>
      <c r="G31" s="652"/>
      <c r="H31" s="652"/>
      <c r="I31" s="652"/>
      <c r="J31" s="652"/>
      <c r="K31" s="652"/>
      <c r="L31" s="652"/>
      <c r="M31" s="238"/>
      <c r="N31"/>
      <c r="O31" s="700" t="s">
        <v>186</v>
      </c>
      <c r="P31" s="666"/>
      <c r="Q31" s="666"/>
      <c r="R31" s="666"/>
      <c r="S31" s="666"/>
      <c r="T31" s="666"/>
      <c r="U31" s="652"/>
    </row>
    <row r="32" spans="1:21" ht="16" thickBot="1">
      <c r="A32" s="652"/>
      <c r="B32" s="652"/>
      <c r="C32" s="652"/>
      <c r="D32" s="652"/>
      <c r="E32" s="652"/>
      <c r="F32" s="652"/>
      <c r="G32" s="652"/>
      <c r="H32" s="652"/>
      <c r="I32" s="652"/>
      <c r="J32" s="652"/>
      <c r="K32" s="652"/>
      <c r="L32" s="652"/>
      <c r="N32"/>
      <c r="O32" s="702" t="s">
        <v>1199</v>
      </c>
      <c r="P32" s="666"/>
      <c r="Q32" s="666"/>
      <c r="R32" s="666"/>
      <c r="S32" s="666"/>
      <c r="T32" s="666"/>
      <c r="U32" s="666"/>
    </row>
    <row r="33" spans="1:21" ht="17" thickBot="1">
      <c r="A33" s="664" t="s">
        <v>140</v>
      </c>
      <c r="B33" s="654"/>
      <c r="C33" s="1038" t="s">
        <v>494</v>
      </c>
      <c r="D33" s="1039"/>
      <c r="E33" s="1039"/>
      <c r="F33" s="1039"/>
      <c r="G33" s="1039"/>
      <c r="H33" s="1039"/>
      <c r="I33" s="1039"/>
      <c r="J33" s="1039"/>
      <c r="K33" s="658">
        <v>1</v>
      </c>
      <c r="L33" s="663" t="s">
        <v>407</v>
      </c>
      <c r="O33" s="702" t="s">
        <v>1200</v>
      </c>
      <c r="P33" s="666"/>
      <c r="Q33" s="666"/>
      <c r="R33" s="666"/>
      <c r="S33" s="666"/>
      <c r="T33" s="666"/>
      <c r="U33" s="666"/>
    </row>
    <row r="34" spans="1:21" ht="16">
      <c r="A34" s="665"/>
      <c r="B34" s="659" t="s">
        <v>410</v>
      </c>
      <c r="C34" s="715" t="s">
        <v>1189</v>
      </c>
      <c r="D34" s="662"/>
      <c r="E34" s="662"/>
      <c r="F34" s="662"/>
      <c r="G34" s="662"/>
      <c r="H34" s="662"/>
      <c r="I34" s="662"/>
      <c r="J34" s="662"/>
      <c r="K34" s="661"/>
      <c r="L34" s="660"/>
      <c r="O34" s="695" t="s">
        <v>1201</v>
      </c>
      <c r="P34" s="666"/>
      <c r="Q34" s="666"/>
      <c r="R34" s="666"/>
      <c r="S34" s="666"/>
      <c r="T34" s="666"/>
      <c r="U34" s="666"/>
    </row>
    <row r="35" spans="1:21" ht="16">
      <c r="A35" s="665"/>
      <c r="B35" s="659" t="s">
        <v>410</v>
      </c>
      <c r="C35" s="715" t="s">
        <v>1190</v>
      </c>
      <c r="D35" s="662"/>
      <c r="E35" s="662"/>
      <c r="F35" s="662"/>
      <c r="G35" s="662"/>
      <c r="H35" s="662"/>
      <c r="I35" s="662"/>
      <c r="J35" s="662"/>
      <c r="K35" s="661"/>
      <c r="L35" s="660"/>
      <c r="O35" s="702" t="s">
        <v>1202</v>
      </c>
      <c r="P35" s="666"/>
      <c r="Q35" s="666"/>
      <c r="R35" s="666"/>
      <c r="S35" s="666"/>
      <c r="T35" s="666"/>
      <c r="U35" s="666"/>
    </row>
    <row r="36" spans="1:21">
      <c r="A36" s="652"/>
      <c r="B36" s="659" t="s">
        <v>410</v>
      </c>
      <c r="C36" s="715" t="s">
        <v>1191</v>
      </c>
      <c r="D36" s="652"/>
      <c r="E36" s="652"/>
      <c r="F36" s="652"/>
      <c r="G36" s="652"/>
      <c r="H36" s="652"/>
      <c r="I36" s="652"/>
      <c r="J36" s="652"/>
      <c r="K36" s="653"/>
      <c r="L36" s="652"/>
      <c r="O36" s="702" t="s">
        <v>1203</v>
      </c>
      <c r="P36" s="666"/>
      <c r="Q36" s="666"/>
      <c r="R36" s="666"/>
      <c r="S36" s="666"/>
      <c r="T36" s="666"/>
      <c r="U36" s="666"/>
    </row>
    <row r="37" spans="1:21">
      <c r="A37" s="652"/>
      <c r="B37" s="659" t="s">
        <v>130</v>
      </c>
      <c r="C37" s="652" t="s">
        <v>1192</v>
      </c>
      <c r="D37" s="652"/>
      <c r="E37" s="652"/>
      <c r="F37" s="652"/>
      <c r="G37" s="652"/>
      <c r="H37" s="652"/>
      <c r="I37" s="652"/>
      <c r="J37" s="652"/>
      <c r="K37" s="652"/>
      <c r="L37" s="652"/>
      <c r="O37" s="695"/>
      <c r="P37" s="699"/>
      <c r="Q37" s="666"/>
      <c r="R37" s="666"/>
      <c r="S37" s="666"/>
      <c r="T37" s="666"/>
      <c r="U37" s="666"/>
    </row>
    <row r="38" spans="1:21" ht="16" thickBot="1">
      <c r="A38" s="652"/>
      <c r="B38" s="652"/>
      <c r="C38" s="652"/>
      <c r="D38" s="652"/>
      <c r="E38" s="652"/>
      <c r="F38" s="652"/>
      <c r="G38" s="652"/>
      <c r="H38" s="652"/>
      <c r="I38" s="652"/>
      <c r="J38" s="652"/>
      <c r="K38" s="652"/>
      <c r="L38" s="652"/>
      <c r="O38" s="704" t="s">
        <v>1204</v>
      </c>
      <c r="P38" s="666"/>
      <c r="Q38" s="666"/>
      <c r="R38" s="666"/>
      <c r="S38" s="666"/>
      <c r="T38" s="666"/>
      <c r="U38" s="666"/>
    </row>
    <row r="39" spans="1:21" ht="17" thickBot="1">
      <c r="A39" s="664" t="s">
        <v>141</v>
      </c>
      <c r="B39" s="654"/>
      <c r="C39" s="1038" t="s">
        <v>496</v>
      </c>
      <c r="D39" s="1039"/>
      <c r="E39" s="1039"/>
      <c r="F39" s="1039"/>
      <c r="G39" s="1039"/>
      <c r="H39" s="1039"/>
      <c r="I39" s="1039"/>
      <c r="J39" s="1039"/>
      <c r="K39" s="658">
        <v>1</v>
      </c>
      <c r="L39" s="663" t="s">
        <v>407</v>
      </c>
      <c r="N39" s="693"/>
      <c r="O39" s="679" t="s">
        <v>1166</v>
      </c>
      <c r="P39" s="679" t="s">
        <v>1167</v>
      </c>
      <c r="Q39" s="679" t="s">
        <v>1168</v>
      </c>
      <c r="R39" s="679"/>
      <c r="S39" s="679" t="s">
        <v>1183</v>
      </c>
      <c r="T39" s="679"/>
      <c r="U39" s="679"/>
    </row>
    <row r="40" spans="1:21">
      <c r="A40" s="652"/>
      <c r="B40" s="659" t="s">
        <v>410</v>
      </c>
      <c r="C40" s="715" t="s">
        <v>1193</v>
      </c>
      <c r="D40" s="652"/>
      <c r="E40" s="652"/>
      <c r="F40" s="652"/>
      <c r="G40" s="652"/>
      <c r="H40" s="652"/>
      <c r="I40" s="652"/>
      <c r="J40" s="652"/>
      <c r="K40" s="653"/>
      <c r="L40" s="652"/>
      <c r="N40" s="693"/>
      <c r="O40" s="679" t="s">
        <v>1188</v>
      </c>
      <c r="P40" s="679"/>
      <c r="Q40" s="679" t="s">
        <v>1192</v>
      </c>
      <c r="R40" s="679" t="s">
        <v>1196</v>
      </c>
      <c r="S40" s="679"/>
      <c r="T40" s="679"/>
      <c r="U40" s="679"/>
    </row>
    <row r="41" spans="1:21">
      <c r="A41" s="652"/>
      <c r="B41" s="659" t="s">
        <v>410</v>
      </c>
      <c r="C41" s="715" t="s">
        <v>1194</v>
      </c>
      <c r="D41" s="652"/>
      <c r="E41" s="652"/>
      <c r="F41" s="652"/>
      <c r="G41" s="652"/>
      <c r="H41" s="652"/>
      <c r="I41" s="652"/>
      <c r="J41" s="652"/>
      <c r="K41" s="653"/>
      <c r="L41" s="652"/>
      <c r="O41" s="666"/>
      <c r="P41" s="666"/>
      <c r="Q41" s="666"/>
      <c r="R41" s="666"/>
      <c r="S41" s="666"/>
      <c r="T41" s="666"/>
      <c r="U41" s="666"/>
    </row>
    <row r="42" spans="1:21">
      <c r="A42" s="632"/>
      <c r="B42" s="659" t="s">
        <v>130</v>
      </c>
      <c r="C42" s="652" t="s">
        <v>1195</v>
      </c>
      <c r="D42" s="652" t="s">
        <v>1196</v>
      </c>
      <c r="E42" s="652"/>
      <c r="F42" s="652"/>
      <c r="G42" s="652"/>
      <c r="H42" s="652"/>
      <c r="I42" s="652"/>
      <c r="J42" s="652"/>
      <c r="K42" s="652"/>
      <c r="L42" s="652"/>
      <c r="O42" s="666"/>
      <c r="P42" s="666"/>
      <c r="Q42" s="666"/>
      <c r="R42" s="666"/>
      <c r="S42" s="666"/>
      <c r="T42" s="666"/>
      <c r="U42" s="666"/>
    </row>
    <row r="43" spans="1:21">
      <c r="O43" s="666"/>
      <c r="P43" s="666"/>
      <c r="Q43" s="666"/>
      <c r="R43" s="666"/>
      <c r="S43" s="666"/>
      <c r="T43" s="666"/>
      <c r="U43" s="666"/>
    </row>
    <row r="44" spans="1:21">
      <c r="O44" s="691" t="s">
        <v>183</v>
      </c>
      <c r="P44" s="691"/>
      <c r="Q44" s="666"/>
      <c r="R44" s="666"/>
      <c r="S44" s="666"/>
      <c r="T44" s="666"/>
      <c r="U44" s="666"/>
    </row>
    <row r="45" spans="1:21">
      <c r="O45" s="688"/>
      <c r="P45" s="666"/>
      <c r="Q45" s="666"/>
      <c r="R45" s="666"/>
      <c r="S45" s="666"/>
      <c r="T45" s="666"/>
      <c r="U45" s="666"/>
    </row>
    <row r="46" spans="1:21">
      <c r="O46" s="687" t="s">
        <v>176</v>
      </c>
      <c r="P46" s="666"/>
      <c r="Q46" s="666"/>
      <c r="R46" s="666"/>
      <c r="S46" s="666"/>
      <c r="T46" s="666"/>
      <c r="U46" s="666"/>
    </row>
    <row r="47" spans="1:21">
      <c r="O47" s="692" t="s">
        <v>202</v>
      </c>
      <c r="P47" s="666"/>
      <c r="Q47" s="666"/>
      <c r="R47" s="666"/>
      <c r="S47" s="666"/>
      <c r="T47" s="666"/>
      <c r="U47" s="666"/>
    </row>
    <row r="48" spans="1:21">
      <c r="O48" s="689" t="s">
        <v>227</v>
      </c>
      <c r="P48" s="652"/>
      <c r="Q48" s="652"/>
      <c r="R48" s="652"/>
      <c r="S48" s="652"/>
      <c r="T48" s="652"/>
      <c r="U48" s="652"/>
    </row>
    <row r="49" spans="15:21">
      <c r="O49" s="689" t="s">
        <v>228</v>
      </c>
      <c r="P49" s="652"/>
      <c r="Q49" s="652"/>
      <c r="R49" s="652"/>
      <c r="S49" s="652"/>
      <c r="T49" s="652"/>
      <c r="U49" s="652"/>
    </row>
    <row r="50" spans="15:21">
      <c r="O50" s="687" t="s">
        <v>224</v>
      </c>
      <c r="P50" s="652"/>
      <c r="Q50" s="652"/>
      <c r="R50" s="652"/>
      <c r="S50" s="652"/>
      <c r="T50" s="652"/>
      <c r="U50" s="652"/>
    </row>
    <row r="51" spans="15:21">
      <c r="O51" s="689" t="s">
        <v>229</v>
      </c>
      <c r="P51" s="652"/>
      <c r="Q51" s="652"/>
      <c r="R51" s="652"/>
      <c r="S51" s="652"/>
      <c r="T51" s="652"/>
      <c r="U51" s="652"/>
    </row>
    <row r="52" spans="15:21">
      <c r="O52" s="689" t="s">
        <v>230</v>
      </c>
      <c r="P52" s="652"/>
      <c r="Q52" s="652"/>
      <c r="R52" s="652"/>
      <c r="S52" s="652"/>
      <c r="T52" s="652"/>
      <c r="U52" s="652"/>
    </row>
    <row r="53" spans="15:21">
      <c r="O53" s="689" t="s">
        <v>231</v>
      </c>
      <c r="P53" s="652"/>
      <c r="Q53" s="652"/>
      <c r="R53" s="652"/>
      <c r="S53" s="652"/>
      <c r="T53" s="652"/>
      <c r="U53" s="652"/>
    </row>
    <row r="54" spans="15:21">
      <c r="O54" s="689" t="s">
        <v>232</v>
      </c>
      <c r="P54" s="652"/>
      <c r="Q54" s="652"/>
      <c r="R54" s="652"/>
      <c r="S54" s="652"/>
      <c r="T54" s="652"/>
      <c r="U54" s="652"/>
    </row>
    <row r="55" spans="15:21">
      <c r="O55" s="689" t="s">
        <v>233</v>
      </c>
      <c r="P55" s="652"/>
      <c r="Q55" s="652"/>
      <c r="R55" s="652"/>
      <c r="S55" s="652"/>
      <c r="T55" s="652"/>
      <c r="U55" s="652"/>
    </row>
    <row r="56" spans="15:21">
      <c r="O56" s="689" t="s">
        <v>234</v>
      </c>
      <c r="P56" s="652"/>
      <c r="Q56" s="652"/>
      <c r="R56" s="652"/>
      <c r="S56" s="652"/>
      <c r="T56" s="652"/>
      <c r="U56" s="652"/>
    </row>
    <row r="57" spans="15:21">
      <c r="O57" s="688"/>
      <c r="P57" s="652"/>
      <c r="Q57" s="652"/>
      <c r="R57" s="652"/>
      <c r="S57" s="652"/>
      <c r="T57" s="652"/>
      <c r="U57" s="652"/>
    </row>
    <row r="58" spans="15:21">
      <c r="O58" s="687" t="s">
        <v>186</v>
      </c>
      <c r="P58" s="652"/>
      <c r="Q58" s="652"/>
      <c r="R58" s="652"/>
      <c r="S58" s="652"/>
      <c r="T58" s="652"/>
      <c r="U58" s="652"/>
    </row>
    <row r="59" spans="15:21">
      <c r="O59" s="689" t="s">
        <v>235</v>
      </c>
      <c r="P59" s="652"/>
      <c r="Q59" s="652"/>
      <c r="R59" s="652"/>
      <c r="S59" s="652"/>
      <c r="T59" s="652"/>
      <c r="U59" s="652"/>
    </row>
    <row r="60" spans="15:21">
      <c r="O60" s="689" t="s">
        <v>236</v>
      </c>
      <c r="P60" s="652"/>
      <c r="Q60" s="652"/>
      <c r="R60" s="652"/>
      <c r="S60" s="652"/>
      <c r="T60" s="652"/>
      <c r="U60" s="652"/>
    </row>
    <row r="61" spans="15:21">
      <c r="O61" s="688" t="s">
        <v>237</v>
      </c>
      <c r="P61" s="652"/>
      <c r="Q61" s="652"/>
      <c r="R61" s="652"/>
      <c r="S61" s="652"/>
      <c r="T61" s="652"/>
      <c r="U61" s="652"/>
    </row>
  </sheetData>
  <mergeCells count="5">
    <mergeCell ref="O9:V9"/>
    <mergeCell ref="C19:J19"/>
    <mergeCell ref="C26:J26"/>
    <mergeCell ref="C33:J33"/>
    <mergeCell ref="C39:J39"/>
  </mergeCells>
  <dataValidations disablePrompts="1" count="2">
    <dataValidation type="list" allowBlank="1" showInputMessage="1" showErrorMessage="1" sqref="L10 L19 L26 L39 L33:L35" xr:uid="{00000000-0002-0000-0F00-000000000000}">
      <formula1>choix</formula1>
    </dataValidation>
    <dataValidation type="list" allowBlank="1" showInputMessage="1" showErrorMessage="1" sqref="B11:B16 B20:B23 B34:B36 B40:B41 B27:B30" xr:uid="{00000000-0002-0000-0F00-000001000000}">
      <formula1>Choix_capacité</formula1>
    </dataValidation>
  </dataValidations>
  <pageMargins left="0.7" right="0.7" top="0.75" bottom="0.75" header="0.3" footer="0.3"/>
  <pageSetup paperSize="9" scale="32"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7">
    <tabColor theme="4"/>
    <pageSetUpPr fitToPage="1"/>
  </sheetPr>
  <dimension ref="A1:AC59"/>
  <sheetViews>
    <sheetView topLeftCell="B18" zoomScale="80" zoomScaleNormal="80" workbookViewId="0">
      <selection activeCell="R2" sqref="R2:AC60"/>
    </sheetView>
  </sheetViews>
  <sheetFormatPr baseColWidth="10" defaultRowHeight="15"/>
  <cols>
    <col min="2" max="2" width="13.6640625" customWidth="1"/>
    <col min="3" max="3" width="17.6640625" customWidth="1"/>
    <col min="14" max="14" width="3.83203125" customWidth="1"/>
    <col min="15" max="16" width="13.5" bestFit="1" customWidth="1"/>
    <col min="19" max="19" width="17.5" customWidth="1"/>
    <col min="23" max="23" width="19.1640625" customWidth="1"/>
  </cols>
  <sheetData>
    <row r="1" spans="1:29" ht="16" thickBot="1"/>
    <row r="2" spans="1:29" ht="19">
      <c r="R2" s="272" t="s">
        <v>108</v>
      </c>
      <c r="S2" s="228" t="s">
        <v>126</v>
      </c>
      <c r="T2" s="229" t="s">
        <v>24</v>
      </c>
      <c r="U2" s="671" t="s">
        <v>149</v>
      </c>
      <c r="V2" s="983"/>
    </row>
    <row r="3" spans="1:29" ht="16" thickBot="1">
      <c r="R3" s="983"/>
      <c r="S3" s="230" t="s">
        <v>55</v>
      </c>
      <c r="T3" s="231">
        <v>3</v>
      </c>
      <c r="U3" s="983"/>
      <c r="V3" s="983"/>
    </row>
    <row r="4" spans="1:29" ht="20" thickBot="1">
      <c r="B4" s="272" t="s">
        <v>108</v>
      </c>
      <c r="C4" s="228" t="s">
        <v>126</v>
      </c>
      <c r="D4" s="229" t="s">
        <v>24</v>
      </c>
      <c r="E4" s="227" t="s">
        <v>149</v>
      </c>
      <c r="G4" s="242"/>
      <c r="R4" s="983"/>
      <c r="S4" s="232" t="s">
        <v>62</v>
      </c>
      <c r="T4" s="986">
        <v>50</v>
      </c>
      <c r="U4" s="983"/>
      <c r="V4" s="983"/>
    </row>
    <row r="5" spans="1:29">
      <c r="C5" s="230" t="s">
        <v>55</v>
      </c>
      <c r="D5" s="231">
        <v>3</v>
      </c>
    </row>
    <row r="6" spans="1:29" ht="17" thickBot="1">
      <c r="C6" s="232" t="s">
        <v>62</v>
      </c>
      <c r="D6" s="252">
        <v>50</v>
      </c>
      <c r="Q6" s="292"/>
      <c r="R6" s="1041" t="s">
        <v>567</v>
      </c>
      <c r="S6" s="1042"/>
      <c r="T6" s="1042"/>
      <c r="U6" s="1042"/>
      <c r="V6" s="1042"/>
      <c r="W6" s="1042"/>
      <c r="X6" s="1042"/>
      <c r="Y6" s="1042"/>
      <c r="Z6" s="467"/>
      <c r="AA6" s="467"/>
      <c r="AB6" s="467"/>
      <c r="AC6" s="467"/>
    </row>
    <row r="7" spans="1:29" ht="16" thickBot="1">
      <c r="Q7" s="292"/>
      <c r="R7" s="481"/>
      <c r="S7" s="469"/>
      <c r="T7" s="469"/>
      <c r="U7" s="467"/>
      <c r="V7" s="467"/>
      <c r="W7" s="467"/>
      <c r="X7" s="467"/>
      <c r="Y7" s="467"/>
      <c r="Z7" s="467"/>
      <c r="AA7" s="467"/>
      <c r="AB7" s="467"/>
      <c r="AC7" s="467"/>
    </row>
    <row r="8" spans="1:29" ht="49" thickBot="1">
      <c r="O8" s="320" t="s">
        <v>125</v>
      </c>
      <c r="P8" s="320" t="s">
        <v>408</v>
      </c>
      <c r="Q8" s="292"/>
      <c r="R8" s="498" t="s">
        <v>529</v>
      </c>
      <c r="S8" s="469"/>
      <c r="T8" s="469"/>
      <c r="U8" s="467"/>
      <c r="V8" s="467"/>
      <c r="W8" s="467"/>
      <c r="X8" s="467"/>
      <c r="Y8" s="467"/>
      <c r="Z8" s="467"/>
      <c r="AA8" s="467"/>
      <c r="AB8" s="467"/>
      <c r="AC8" s="467"/>
    </row>
    <row r="9" spans="1:29" ht="16" thickBot="1">
      <c r="Q9" s="292"/>
      <c r="R9" s="512" t="s">
        <v>863</v>
      </c>
      <c r="S9" s="469"/>
      <c r="T9" s="469"/>
      <c r="U9" s="467"/>
      <c r="V9" s="467"/>
      <c r="W9" s="467"/>
      <c r="X9" s="467"/>
      <c r="Y9" s="467"/>
      <c r="Z9" s="467"/>
      <c r="AA9" s="467"/>
      <c r="AB9" s="467"/>
      <c r="AC9" s="467"/>
    </row>
    <row r="10" spans="1:29" ht="17" thickBot="1">
      <c r="A10" s="493" t="s">
        <v>127</v>
      </c>
      <c r="B10" s="477"/>
      <c r="C10" s="473" t="s">
        <v>863</v>
      </c>
      <c r="D10" s="474"/>
      <c r="E10" s="474"/>
      <c r="F10" s="474"/>
      <c r="G10" s="474"/>
      <c r="H10" s="474"/>
      <c r="I10" s="474"/>
      <c r="J10" s="474"/>
      <c r="K10" s="474"/>
      <c r="L10" s="474"/>
      <c r="M10" s="474"/>
      <c r="N10" s="475"/>
      <c r="O10" s="478">
        <v>3</v>
      </c>
      <c r="P10" s="492" t="s">
        <v>407</v>
      </c>
      <c r="Q10" s="292"/>
      <c r="R10" s="503" t="s">
        <v>488</v>
      </c>
      <c r="S10" s="514"/>
      <c r="T10" s="501" t="s">
        <v>864</v>
      </c>
      <c r="U10" s="500"/>
      <c r="V10" s="500"/>
      <c r="W10" s="500"/>
      <c r="X10" s="500"/>
      <c r="Y10" s="500"/>
      <c r="Z10" s="500"/>
      <c r="AA10" s="467"/>
      <c r="AB10" s="467"/>
      <c r="AC10" s="467"/>
    </row>
    <row r="11" spans="1:29" ht="16">
      <c r="A11" s="503" t="s">
        <v>488</v>
      </c>
      <c r="B11" s="514"/>
      <c r="C11" s="507" t="s">
        <v>864</v>
      </c>
      <c r="D11" s="500"/>
      <c r="E11" s="500"/>
      <c r="F11" s="500"/>
      <c r="G11" s="500"/>
      <c r="H11" s="500"/>
      <c r="I11" s="500"/>
      <c r="J11" s="491"/>
      <c r="K11" s="491"/>
      <c r="L11" s="487"/>
      <c r="M11" s="486"/>
      <c r="N11" s="481"/>
      <c r="O11" s="481"/>
      <c r="P11" s="517"/>
      <c r="Q11" s="292"/>
      <c r="R11" s="467"/>
      <c r="S11" s="506" t="s">
        <v>410</v>
      </c>
      <c r="T11" s="504" t="s">
        <v>865</v>
      </c>
      <c r="U11" s="489"/>
      <c r="V11" s="489"/>
      <c r="W11" s="489"/>
      <c r="X11" s="467"/>
      <c r="Y11" s="467"/>
      <c r="Z11" s="467"/>
      <c r="AA11" s="467"/>
      <c r="AB11" s="467"/>
      <c r="AC11" s="467"/>
    </row>
    <row r="12" spans="1:29">
      <c r="A12" s="467"/>
      <c r="B12" s="506" t="s">
        <v>410</v>
      </c>
      <c r="C12" s="718" t="s">
        <v>865</v>
      </c>
      <c r="D12" s="489"/>
      <c r="E12" s="489"/>
      <c r="F12" s="489"/>
      <c r="G12" s="467"/>
      <c r="H12" s="467"/>
      <c r="I12" s="467"/>
      <c r="J12" s="467"/>
      <c r="K12" s="467"/>
      <c r="L12" s="467"/>
      <c r="M12" s="467"/>
      <c r="N12" s="467"/>
      <c r="O12" s="470"/>
      <c r="P12" s="467"/>
      <c r="Q12" s="292"/>
      <c r="R12" s="467"/>
      <c r="S12" s="506" t="s">
        <v>410</v>
      </c>
      <c r="T12" s="504" t="s">
        <v>866</v>
      </c>
      <c r="U12" s="489"/>
      <c r="V12" s="489"/>
      <c r="W12" s="489"/>
      <c r="X12" s="467"/>
      <c r="Y12" s="467"/>
      <c r="Z12" s="467"/>
      <c r="AA12" s="467"/>
      <c r="AB12" s="467"/>
      <c r="AC12" s="467"/>
    </row>
    <row r="13" spans="1:29">
      <c r="A13" s="467"/>
      <c r="B13" s="506" t="s">
        <v>410</v>
      </c>
      <c r="C13" s="718" t="s">
        <v>866</v>
      </c>
      <c r="D13" s="489"/>
      <c r="E13" s="489"/>
      <c r="F13" s="489"/>
      <c r="G13" s="467"/>
      <c r="H13" s="467"/>
      <c r="I13" s="467"/>
      <c r="J13" s="467"/>
      <c r="K13" s="467"/>
      <c r="L13" s="467"/>
      <c r="M13" s="467"/>
      <c r="N13" s="467"/>
      <c r="O13" s="470"/>
      <c r="P13" s="467"/>
      <c r="Q13" s="292"/>
      <c r="R13" s="467"/>
      <c r="S13" s="506" t="s">
        <v>411</v>
      </c>
      <c r="T13" s="504" t="s">
        <v>867</v>
      </c>
      <c r="U13" s="489"/>
      <c r="V13" s="489"/>
      <c r="W13" s="489"/>
      <c r="X13" s="467"/>
      <c r="Y13" s="467"/>
      <c r="Z13" s="467"/>
      <c r="AA13" s="467"/>
      <c r="AB13" s="467"/>
      <c r="AC13" s="467"/>
    </row>
    <row r="14" spans="1:29">
      <c r="A14" s="467"/>
      <c r="B14" s="506" t="s">
        <v>411</v>
      </c>
      <c r="C14" s="504" t="s">
        <v>867</v>
      </c>
      <c r="D14" s="489"/>
      <c r="E14" s="489"/>
      <c r="F14" s="489"/>
      <c r="G14" s="467"/>
      <c r="H14" s="467"/>
      <c r="I14" s="467"/>
      <c r="J14" s="467"/>
      <c r="K14" s="467"/>
      <c r="L14" s="467"/>
      <c r="M14" s="467"/>
      <c r="N14" s="467"/>
      <c r="O14" s="470"/>
      <c r="P14" s="467"/>
      <c r="Q14" s="292"/>
      <c r="R14" s="467"/>
      <c r="S14" s="506" t="s">
        <v>410</v>
      </c>
      <c r="T14" s="504" t="s">
        <v>868</v>
      </c>
      <c r="U14" s="489"/>
      <c r="V14" s="489"/>
      <c r="W14" s="489"/>
      <c r="X14" s="467"/>
      <c r="Y14" s="467"/>
      <c r="Z14" s="467"/>
      <c r="AA14" s="467"/>
      <c r="AB14" s="467"/>
      <c r="AC14" s="467"/>
    </row>
    <row r="15" spans="1:29" ht="16">
      <c r="A15" s="467"/>
      <c r="B15" s="506" t="s">
        <v>410</v>
      </c>
      <c r="C15" s="718" t="s">
        <v>868</v>
      </c>
      <c r="D15" s="489"/>
      <c r="E15" s="489"/>
      <c r="F15" s="489"/>
      <c r="G15" s="467"/>
      <c r="H15" s="467"/>
      <c r="I15" s="467"/>
      <c r="J15" s="467"/>
      <c r="K15" s="467"/>
      <c r="L15" s="467"/>
      <c r="M15" s="467"/>
      <c r="N15" s="467"/>
      <c r="O15" s="470"/>
      <c r="P15" s="467"/>
      <c r="Q15" s="292"/>
      <c r="R15" s="503" t="s">
        <v>488</v>
      </c>
      <c r="S15" s="476"/>
      <c r="T15" s="509" t="s">
        <v>870</v>
      </c>
      <c r="U15" s="509"/>
      <c r="V15" s="509"/>
      <c r="W15" s="509"/>
      <c r="X15" s="509"/>
      <c r="Y15" s="467"/>
      <c r="Z15" s="467"/>
      <c r="AA15" s="467"/>
      <c r="AB15" s="467"/>
      <c r="AC15" s="467"/>
    </row>
    <row r="16" spans="1:29" ht="16">
      <c r="A16" s="467"/>
      <c r="B16" s="502" t="s">
        <v>130</v>
      </c>
      <c r="C16" s="508" t="s">
        <v>869</v>
      </c>
      <c r="D16" s="467"/>
      <c r="E16" s="467"/>
      <c r="F16" s="467"/>
      <c r="G16" s="467"/>
      <c r="H16" s="467"/>
      <c r="I16" s="467"/>
      <c r="J16" s="467"/>
      <c r="K16" s="467"/>
      <c r="L16" s="467"/>
      <c r="M16" s="467"/>
      <c r="N16" s="467"/>
      <c r="O16" s="470"/>
      <c r="P16" s="467"/>
      <c r="Q16" s="292"/>
      <c r="R16" s="467"/>
      <c r="S16" s="506" t="s">
        <v>411</v>
      </c>
      <c r="T16" s="504" t="s">
        <v>871</v>
      </c>
      <c r="U16" s="467"/>
      <c r="V16" s="467"/>
      <c r="W16" s="467"/>
      <c r="X16" s="467"/>
      <c r="Y16" s="509"/>
      <c r="Z16" s="509"/>
      <c r="AA16" s="467"/>
      <c r="AB16" s="467"/>
      <c r="AC16" s="467"/>
    </row>
    <row r="17" spans="1:29" ht="16">
      <c r="A17" s="503" t="s">
        <v>488</v>
      </c>
      <c r="B17" s="476"/>
      <c r="C17" s="509" t="s">
        <v>870</v>
      </c>
      <c r="D17" s="509"/>
      <c r="E17" s="509"/>
      <c r="F17" s="509"/>
      <c r="G17" s="509"/>
      <c r="H17" s="509"/>
      <c r="I17" s="509"/>
      <c r="J17" s="509"/>
      <c r="K17" s="509"/>
      <c r="L17" s="509"/>
      <c r="M17" s="509"/>
      <c r="N17" s="509"/>
      <c r="O17" s="470"/>
      <c r="P17" s="467"/>
      <c r="Q17" s="292"/>
      <c r="R17" s="467"/>
      <c r="S17" s="506" t="s">
        <v>410</v>
      </c>
      <c r="T17" s="504" t="s">
        <v>872</v>
      </c>
      <c r="U17" s="467"/>
      <c r="V17" s="467"/>
      <c r="W17" s="467"/>
      <c r="X17" s="467"/>
      <c r="Y17" s="467"/>
      <c r="Z17" s="467"/>
      <c r="AA17" s="467"/>
      <c r="AB17" s="467"/>
      <c r="AC17" s="467"/>
    </row>
    <row r="18" spans="1:29">
      <c r="A18" s="467"/>
      <c r="B18" s="506" t="s">
        <v>411</v>
      </c>
      <c r="C18" s="504" t="s">
        <v>871</v>
      </c>
      <c r="D18" s="467"/>
      <c r="E18" s="467"/>
      <c r="F18" s="467"/>
      <c r="G18" s="467"/>
      <c r="H18" s="467"/>
      <c r="I18" s="467"/>
      <c r="J18" s="467"/>
      <c r="K18" s="467"/>
      <c r="L18" s="467"/>
      <c r="M18" s="467"/>
      <c r="N18" s="467"/>
      <c r="O18" s="470"/>
      <c r="P18" s="467"/>
      <c r="Q18" s="292"/>
      <c r="R18" s="467"/>
      <c r="S18" s="506" t="s">
        <v>410</v>
      </c>
      <c r="T18" s="504" t="s">
        <v>873</v>
      </c>
      <c r="U18" s="467"/>
      <c r="V18" s="467"/>
      <c r="W18" s="467"/>
      <c r="X18" s="467"/>
      <c r="Y18" s="467"/>
      <c r="Z18" s="467"/>
      <c r="AA18" s="467"/>
      <c r="AB18" s="467"/>
      <c r="AC18" s="467"/>
    </row>
    <row r="19" spans="1:29">
      <c r="A19" s="467"/>
      <c r="B19" s="506" t="s">
        <v>410</v>
      </c>
      <c r="C19" s="718" t="s">
        <v>872</v>
      </c>
      <c r="D19" s="467"/>
      <c r="E19" s="467"/>
      <c r="F19" s="467"/>
      <c r="G19" s="467"/>
      <c r="H19" s="467"/>
      <c r="I19" s="467"/>
      <c r="J19" s="467"/>
      <c r="K19" s="467"/>
      <c r="L19" s="467"/>
      <c r="M19" s="467"/>
      <c r="N19" s="467"/>
      <c r="O19" s="470"/>
      <c r="P19" s="467"/>
      <c r="Q19" s="292"/>
      <c r="R19" s="467"/>
      <c r="S19" s="506" t="s">
        <v>410</v>
      </c>
      <c r="T19" s="504" t="s">
        <v>874</v>
      </c>
      <c r="U19" s="467"/>
      <c r="V19" s="467"/>
      <c r="W19" s="467"/>
      <c r="X19" s="467"/>
      <c r="Y19" s="467"/>
      <c r="Z19" s="467"/>
      <c r="AA19" s="467"/>
      <c r="AB19" s="467"/>
      <c r="AC19" s="467"/>
    </row>
    <row r="20" spans="1:29" ht="16">
      <c r="A20" s="467"/>
      <c r="B20" s="506" t="s">
        <v>410</v>
      </c>
      <c r="C20" s="718" t="s">
        <v>873</v>
      </c>
      <c r="D20" s="467"/>
      <c r="E20" s="467"/>
      <c r="F20" s="467"/>
      <c r="G20" s="467"/>
      <c r="H20" s="467"/>
      <c r="I20" s="467"/>
      <c r="J20" s="467"/>
      <c r="K20" s="467"/>
      <c r="L20" s="467"/>
      <c r="M20" s="467"/>
      <c r="N20" s="467"/>
      <c r="O20" s="470"/>
      <c r="P20" s="467"/>
      <c r="Q20" s="292"/>
      <c r="R20" s="503" t="s">
        <v>488</v>
      </c>
      <c r="S20" s="487"/>
      <c r="T20" s="509" t="s">
        <v>876</v>
      </c>
      <c r="U20" s="509"/>
      <c r="V20" s="509"/>
      <c r="W20" s="509"/>
      <c r="X20" s="467"/>
      <c r="Y20" s="467"/>
      <c r="Z20" s="467"/>
      <c r="AA20" s="467"/>
      <c r="AB20" s="467"/>
      <c r="AC20" s="467"/>
    </row>
    <row r="21" spans="1:29">
      <c r="A21" s="467"/>
      <c r="B21" s="506" t="s">
        <v>410</v>
      </c>
      <c r="C21" s="718" t="s">
        <v>874</v>
      </c>
      <c r="D21" s="467"/>
      <c r="E21" s="467"/>
      <c r="F21" s="467"/>
      <c r="G21" s="467"/>
      <c r="H21" s="467"/>
      <c r="I21" s="467"/>
      <c r="J21" s="467"/>
      <c r="K21" s="467"/>
      <c r="L21" s="467"/>
      <c r="M21" s="467"/>
      <c r="N21" s="467"/>
      <c r="O21" s="470"/>
      <c r="P21" s="467"/>
      <c r="Q21" s="292"/>
      <c r="R21" s="467"/>
      <c r="S21" s="506" t="s">
        <v>410</v>
      </c>
      <c r="T21" s="481" t="s">
        <v>877</v>
      </c>
      <c r="U21" s="467"/>
      <c r="V21" s="467"/>
      <c r="W21" s="467"/>
      <c r="X21" s="467"/>
      <c r="Y21" s="467"/>
      <c r="Z21" s="467"/>
      <c r="AA21" s="467"/>
      <c r="AB21" s="467"/>
      <c r="AC21" s="467"/>
    </row>
    <row r="22" spans="1:29" ht="16">
      <c r="A22" s="467"/>
      <c r="B22" s="502" t="s">
        <v>130</v>
      </c>
      <c r="C22" s="508" t="s">
        <v>875</v>
      </c>
      <c r="D22" s="467"/>
      <c r="E22" s="467"/>
      <c r="F22" s="467"/>
      <c r="G22" s="467"/>
      <c r="H22" s="467"/>
      <c r="I22" s="467"/>
      <c r="J22" s="467"/>
      <c r="K22" s="467"/>
      <c r="L22" s="467"/>
      <c r="M22" s="467"/>
      <c r="N22" s="467"/>
      <c r="O22" s="470"/>
      <c r="P22" s="467"/>
      <c r="Q22" s="292"/>
      <c r="R22" s="467"/>
      <c r="S22" s="506" t="s">
        <v>410</v>
      </c>
      <c r="T22" s="511" t="s">
        <v>878</v>
      </c>
      <c r="U22" s="467"/>
      <c r="V22" s="467"/>
      <c r="W22" s="467"/>
      <c r="X22" s="509"/>
      <c r="Y22" s="509"/>
      <c r="Z22" s="509"/>
      <c r="AA22" s="467"/>
      <c r="AB22" s="467"/>
      <c r="AC22" s="467"/>
    </row>
    <row r="23" spans="1:29" ht="15.75" customHeight="1">
      <c r="A23" s="503" t="s">
        <v>488</v>
      </c>
      <c r="B23" s="487"/>
      <c r="C23" s="509" t="s">
        <v>876</v>
      </c>
      <c r="D23" s="509"/>
      <c r="E23" s="509"/>
      <c r="F23" s="509"/>
      <c r="G23" s="509"/>
      <c r="H23" s="509"/>
      <c r="I23" s="509"/>
      <c r="J23" s="509"/>
      <c r="K23" s="509"/>
      <c r="L23" s="509"/>
      <c r="M23" s="509"/>
      <c r="N23" s="509"/>
      <c r="O23" s="470"/>
      <c r="P23" s="467"/>
      <c r="Q23" s="292"/>
      <c r="R23" s="467"/>
      <c r="S23" s="506" t="s">
        <v>411</v>
      </c>
      <c r="T23" s="467" t="s">
        <v>879</v>
      </c>
      <c r="U23" s="467"/>
      <c r="V23" s="467"/>
      <c r="W23" s="467"/>
      <c r="X23" s="467"/>
      <c r="Y23" s="467"/>
      <c r="Z23" s="467"/>
      <c r="AA23" s="467"/>
      <c r="AB23" s="467"/>
      <c r="AC23" s="467"/>
    </row>
    <row r="24" spans="1:29" ht="15.75" customHeight="1">
      <c r="A24" s="467"/>
      <c r="B24" s="506" t="s">
        <v>410</v>
      </c>
      <c r="C24" s="719" t="s">
        <v>877</v>
      </c>
      <c r="D24" s="467"/>
      <c r="E24" s="467"/>
      <c r="F24" s="467"/>
      <c r="G24" s="467"/>
      <c r="H24" s="467"/>
      <c r="I24" s="467"/>
      <c r="J24" s="467"/>
      <c r="K24" s="467"/>
      <c r="L24" s="467"/>
      <c r="M24" s="467"/>
      <c r="N24" s="467"/>
      <c r="O24" s="467"/>
      <c r="P24" s="467"/>
      <c r="Q24" s="292"/>
      <c r="R24" s="467"/>
      <c r="S24" s="506" t="s">
        <v>410</v>
      </c>
      <c r="T24" s="488" t="s">
        <v>880</v>
      </c>
      <c r="U24" s="467"/>
      <c r="V24" s="467"/>
      <c r="W24" s="467"/>
      <c r="X24" s="467"/>
      <c r="Y24" s="467"/>
      <c r="Z24" s="467"/>
      <c r="AA24" s="467"/>
      <c r="AB24" s="467"/>
      <c r="AC24" s="467"/>
    </row>
    <row r="25" spans="1:29" ht="15" customHeight="1">
      <c r="A25" s="467"/>
      <c r="B25" s="506" t="s">
        <v>410</v>
      </c>
      <c r="C25" s="720" t="s">
        <v>878</v>
      </c>
      <c r="D25" s="467"/>
      <c r="E25" s="467"/>
      <c r="F25" s="467"/>
      <c r="G25" s="467"/>
      <c r="H25" s="467"/>
      <c r="I25" s="467"/>
      <c r="J25" s="467"/>
      <c r="K25" s="467"/>
      <c r="L25" s="467"/>
      <c r="M25" s="467"/>
      <c r="N25" s="467"/>
      <c r="O25" s="467"/>
      <c r="P25" s="467"/>
      <c r="Q25" s="292"/>
      <c r="R25" s="467"/>
      <c r="S25" s="506" t="s">
        <v>410</v>
      </c>
      <c r="T25" s="469" t="s">
        <v>881</v>
      </c>
      <c r="U25" s="467"/>
      <c r="V25" s="467"/>
      <c r="W25" s="467"/>
      <c r="X25" s="467"/>
      <c r="Y25" s="467"/>
      <c r="Z25" s="467"/>
      <c r="AA25" s="467"/>
      <c r="AB25" s="467"/>
      <c r="AC25" s="467"/>
    </row>
    <row r="26" spans="1:29" ht="15" customHeight="1">
      <c r="A26" s="467"/>
      <c r="B26" s="506" t="s">
        <v>411</v>
      </c>
      <c r="C26" s="467" t="s">
        <v>879</v>
      </c>
      <c r="D26" s="467"/>
      <c r="E26" s="467"/>
      <c r="F26" s="467"/>
      <c r="G26" s="467"/>
      <c r="H26" s="467"/>
      <c r="I26" s="467"/>
      <c r="J26" s="467"/>
      <c r="K26" s="467"/>
      <c r="L26" s="467"/>
      <c r="M26" s="467"/>
      <c r="N26" s="467"/>
      <c r="O26" s="467"/>
      <c r="P26" s="467"/>
      <c r="Q26" s="292"/>
    </row>
    <row r="27" spans="1:29">
      <c r="A27" s="467"/>
      <c r="B27" s="506" t="s">
        <v>410</v>
      </c>
      <c r="C27" s="720" t="s">
        <v>880</v>
      </c>
      <c r="D27" s="467"/>
      <c r="E27" s="467"/>
      <c r="F27" s="467"/>
      <c r="G27" s="467"/>
      <c r="H27" s="467"/>
      <c r="I27" s="467"/>
      <c r="J27" s="467"/>
      <c r="K27" s="467"/>
      <c r="L27" s="467"/>
      <c r="M27" s="467"/>
      <c r="N27" s="467"/>
      <c r="O27" s="467"/>
      <c r="P27" s="467"/>
      <c r="Q27" s="292"/>
      <c r="R27" s="512" t="s">
        <v>836</v>
      </c>
      <c r="S27" s="467"/>
      <c r="T27" s="467"/>
      <c r="U27" s="467"/>
      <c r="V27" s="467"/>
      <c r="W27" s="467"/>
      <c r="X27" s="467"/>
      <c r="Y27" s="467"/>
      <c r="Z27" s="467"/>
      <c r="AA27" s="467"/>
      <c r="AB27" s="467"/>
      <c r="AC27" s="467"/>
    </row>
    <row r="28" spans="1:29">
      <c r="A28" s="467"/>
      <c r="B28" s="506" t="s">
        <v>410</v>
      </c>
      <c r="C28" s="719" t="s">
        <v>881</v>
      </c>
      <c r="D28" s="467"/>
      <c r="E28" s="467"/>
      <c r="F28" s="467"/>
      <c r="G28" s="467"/>
      <c r="H28" s="467"/>
      <c r="I28" s="467"/>
      <c r="J28" s="467"/>
      <c r="K28" s="467"/>
      <c r="L28" s="467"/>
      <c r="M28" s="467"/>
      <c r="N28" s="467"/>
      <c r="O28" s="486"/>
      <c r="P28" s="481"/>
      <c r="Q28" s="292"/>
      <c r="R28" s="467"/>
      <c r="S28" s="506" t="s">
        <v>411</v>
      </c>
      <c r="T28" s="481" t="s">
        <v>883</v>
      </c>
      <c r="U28" s="467"/>
      <c r="V28" s="467"/>
      <c r="W28" s="467"/>
      <c r="X28" s="467"/>
      <c r="Y28" s="467"/>
      <c r="Z28" s="467"/>
      <c r="AA28" s="467"/>
      <c r="AB28" s="467"/>
      <c r="AC28" s="467"/>
    </row>
    <row r="29" spans="1:29">
      <c r="A29" s="467"/>
      <c r="B29" s="502" t="s">
        <v>130</v>
      </c>
      <c r="C29" s="479" t="s">
        <v>882</v>
      </c>
      <c r="D29" s="467"/>
      <c r="E29" s="467"/>
      <c r="F29" s="467"/>
      <c r="G29" s="467"/>
      <c r="H29" s="467"/>
      <c r="I29" s="467"/>
      <c r="J29" s="467"/>
      <c r="K29" s="467"/>
      <c r="L29" s="467"/>
      <c r="M29" s="467"/>
      <c r="N29" s="467"/>
      <c r="O29" s="470"/>
      <c r="P29" s="467"/>
      <c r="Q29" s="292"/>
      <c r="R29" s="467"/>
      <c r="S29" s="506" t="s">
        <v>410</v>
      </c>
      <c r="T29" s="467" t="s">
        <v>884</v>
      </c>
      <c r="U29" s="467"/>
      <c r="V29" s="467"/>
      <c r="W29" s="467"/>
      <c r="X29" s="467"/>
      <c r="Y29" s="467"/>
      <c r="Z29" s="467"/>
      <c r="AA29" s="467"/>
      <c r="AB29" s="467"/>
      <c r="AC29" s="467"/>
    </row>
    <row r="30" spans="1:29" ht="16" thickBot="1">
      <c r="Q30" s="292"/>
      <c r="R30" s="479"/>
      <c r="S30" s="506" t="s">
        <v>410</v>
      </c>
      <c r="T30" s="481" t="s">
        <v>885</v>
      </c>
      <c r="U30" s="467"/>
      <c r="V30" s="467"/>
      <c r="W30" s="467"/>
      <c r="X30" s="467"/>
      <c r="Y30" s="467"/>
      <c r="Z30" s="467"/>
      <c r="AA30" s="467"/>
      <c r="AB30" s="467"/>
      <c r="AC30" s="467"/>
    </row>
    <row r="31" spans="1:29" ht="17" thickBot="1">
      <c r="A31" s="493" t="s">
        <v>888</v>
      </c>
      <c r="B31" s="477"/>
      <c r="C31" s="473" t="s">
        <v>836</v>
      </c>
      <c r="D31" s="474"/>
      <c r="E31" s="474"/>
      <c r="F31" s="474"/>
      <c r="G31" s="474"/>
      <c r="H31" s="474"/>
      <c r="I31" s="474"/>
      <c r="J31" s="474"/>
      <c r="K31" s="474"/>
      <c r="L31" s="474"/>
      <c r="M31" s="474"/>
      <c r="N31" s="475"/>
      <c r="O31" s="478">
        <v>2</v>
      </c>
      <c r="P31" s="492" t="s">
        <v>407</v>
      </c>
      <c r="Q31" s="292"/>
      <c r="R31" s="505"/>
      <c r="S31" s="506" t="s">
        <v>410</v>
      </c>
      <c r="T31" s="469" t="s">
        <v>886</v>
      </c>
      <c r="U31" s="467"/>
      <c r="V31" s="467"/>
      <c r="W31" s="467"/>
      <c r="X31" s="467"/>
      <c r="Y31" s="467"/>
      <c r="Z31" s="467"/>
      <c r="AA31" s="467"/>
      <c r="AB31" s="467"/>
      <c r="AC31" s="467"/>
    </row>
    <row r="32" spans="1:29">
      <c r="A32" s="467"/>
      <c r="B32" s="506" t="s">
        <v>411</v>
      </c>
      <c r="C32" s="481" t="s">
        <v>883</v>
      </c>
      <c r="D32" s="467"/>
      <c r="E32" s="467"/>
      <c r="F32" s="467"/>
      <c r="G32" s="467"/>
      <c r="H32" s="467"/>
      <c r="I32" s="467"/>
      <c r="J32" s="467"/>
      <c r="K32" s="467"/>
      <c r="L32" s="467"/>
      <c r="M32" s="467"/>
      <c r="N32" s="467"/>
      <c r="O32" s="470"/>
      <c r="P32" s="467"/>
      <c r="Q32" s="292"/>
      <c r="R32" s="467"/>
      <c r="S32" s="467"/>
      <c r="T32" s="467"/>
      <c r="U32" s="467"/>
      <c r="V32" s="467"/>
      <c r="W32" s="467"/>
      <c r="X32" s="467"/>
      <c r="Y32" s="467"/>
      <c r="Z32" s="467"/>
      <c r="AA32" s="467"/>
      <c r="AB32" s="467"/>
      <c r="AC32" s="467"/>
    </row>
    <row r="33" spans="1:29">
      <c r="A33" s="467"/>
      <c r="B33" s="506" t="s">
        <v>410</v>
      </c>
      <c r="C33" s="715" t="s">
        <v>884</v>
      </c>
      <c r="D33" s="467"/>
      <c r="E33" s="467"/>
      <c r="F33" s="467"/>
      <c r="G33" s="467"/>
      <c r="H33" s="467"/>
      <c r="I33" s="467"/>
      <c r="J33" s="467"/>
      <c r="K33" s="467"/>
      <c r="L33" s="467"/>
      <c r="M33" s="467"/>
      <c r="N33" s="467"/>
      <c r="O33" s="470"/>
      <c r="P33" s="467"/>
      <c r="Q33" s="292"/>
      <c r="R33" s="499" t="s">
        <v>186</v>
      </c>
      <c r="S33" s="467"/>
      <c r="T33" s="467"/>
      <c r="U33" s="467"/>
      <c r="V33" s="467"/>
      <c r="W33" s="467"/>
      <c r="X33" s="467"/>
      <c r="Y33" s="467"/>
      <c r="Z33" s="467"/>
      <c r="AA33" s="467"/>
      <c r="AB33" s="467"/>
      <c r="AC33" s="467"/>
    </row>
    <row r="34" spans="1:29">
      <c r="A34" s="467"/>
      <c r="B34" s="506" t="s">
        <v>410</v>
      </c>
      <c r="C34" s="719" t="s">
        <v>885</v>
      </c>
      <c r="D34" s="467"/>
      <c r="E34" s="467"/>
      <c r="F34" s="467"/>
      <c r="G34" s="467"/>
      <c r="H34" s="467"/>
      <c r="I34" s="467"/>
      <c r="J34" s="467"/>
      <c r="K34" s="467"/>
      <c r="L34" s="467"/>
      <c r="M34" s="467"/>
      <c r="N34" s="467"/>
      <c r="O34" s="470"/>
      <c r="P34" s="467"/>
      <c r="Q34" s="292"/>
      <c r="R34" s="471" t="s">
        <v>889</v>
      </c>
      <c r="S34" s="468"/>
      <c r="T34" s="468"/>
      <c r="U34" s="468"/>
      <c r="V34" s="468"/>
      <c r="W34" s="468"/>
      <c r="X34" s="467"/>
      <c r="Y34" s="467"/>
      <c r="Z34" s="467"/>
      <c r="AA34" s="467"/>
      <c r="AB34" s="467"/>
      <c r="AC34" s="467"/>
    </row>
    <row r="35" spans="1:29">
      <c r="A35" s="467"/>
      <c r="B35" s="506" t="s">
        <v>410</v>
      </c>
      <c r="C35" s="719" t="s">
        <v>886</v>
      </c>
      <c r="D35" s="467"/>
      <c r="E35" s="467"/>
      <c r="F35" s="467"/>
      <c r="G35" s="467"/>
      <c r="H35" s="467"/>
      <c r="I35" s="467"/>
      <c r="J35" s="467"/>
      <c r="K35" s="467"/>
      <c r="L35" s="467"/>
      <c r="M35" s="467"/>
      <c r="N35" s="467"/>
      <c r="O35" s="470"/>
      <c r="P35" s="467"/>
      <c r="Q35" s="292"/>
      <c r="R35" s="468"/>
      <c r="S35" s="488" t="s">
        <v>151</v>
      </c>
      <c r="T35" s="468"/>
      <c r="U35" s="468"/>
      <c r="V35" s="468"/>
      <c r="W35" s="468"/>
      <c r="X35" s="467"/>
      <c r="Y35" s="467"/>
      <c r="Z35" s="467"/>
      <c r="AA35" s="467"/>
      <c r="AB35" s="467"/>
      <c r="AC35" s="467"/>
    </row>
    <row r="36" spans="1:29">
      <c r="A36" s="467"/>
      <c r="B36" s="502" t="s">
        <v>130</v>
      </c>
      <c r="C36" s="497" t="s">
        <v>887</v>
      </c>
      <c r="D36" s="467"/>
      <c r="E36" s="467"/>
      <c r="F36" s="467"/>
      <c r="G36" s="467"/>
      <c r="H36" s="467"/>
      <c r="I36" s="467"/>
      <c r="J36" s="467"/>
      <c r="K36" s="467"/>
      <c r="L36" s="467"/>
      <c r="M36" s="467"/>
      <c r="N36" s="467"/>
      <c r="O36" s="467"/>
      <c r="P36" s="467"/>
      <c r="Q36" s="292"/>
      <c r="R36" s="468"/>
      <c r="S36" s="469" t="s">
        <v>890</v>
      </c>
      <c r="T36" s="468"/>
      <c r="U36" s="468"/>
      <c r="V36" s="468"/>
      <c r="W36" s="468"/>
      <c r="X36" s="467"/>
      <c r="Y36" s="467"/>
      <c r="Z36" s="467"/>
      <c r="AA36" s="467"/>
      <c r="AB36" s="467"/>
      <c r="AC36" s="467"/>
    </row>
    <row r="37" spans="1:29">
      <c r="Q37" s="292"/>
      <c r="R37" s="471" t="s">
        <v>891</v>
      </c>
      <c r="S37" s="469"/>
      <c r="T37" s="468"/>
      <c r="U37" s="468"/>
      <c r="V37" s="468"/>
      <c r="W37" s="468"/>
      <c r="X37" s="467"/>
      <c r="Y37" s="467"/>
      <c r="Z37" s="467"/>
      <c r="AA37" s="467"/>
      <c r="AB37" s="467"/>
      <c r="AC37" s="467"/>
    </row>
    <row r="38" spans="1:29">
      <c r="Q38" s="292"/>
      <c r="R38" s="469"/>
      <c r="S38" s="511" t="s">
        <v>150</v>
      </c>
      <c r="T38" s="468"/>
      <c r="U38" s="468"/>
      <c r="V38" s="468"/>
      <c r="W38" s="468"/>
      <c r="X38" s="467"/>
      <c r="Y38" s="467"/>
      <c r="Z38" s="467"/>
      <c r="AA38" s="467"/>
      <c r="AB38" s="467"/>
      <c r="AC38" s="467"/>
    </row>
    <row r="39" spans="1:29">
      <c r="Q39" s="292"/>
      <c r="R39" s="515" t="s">
        <v>892</v>
      </c>
      <c r="S39" s="468"/>
      <c r="T39" s="468"/>
      <c r="U39" s="468"/>
      <c r="V39" s="468"/>
      <c r="W39" s="468"/>
      <c r="X39" s="467"/>
      <c r="Y39" s="467"/>
      <c r="Z39" s="467"/>
      <c r="AA39" s="467"/>
      <c r="AB39" s="467"/>
      <c r="AC39" s="467"/>
    </row>
    <row r="40" spans="1:29">
      <c r="Q40" s="292"/>
      <c r="R40" s="468"/>
      <c r="S40" s="467" t="s">
        <v>893</v>
      </c>
      <c r="T40" s="468"/>
      <c r="U40" s="468"/>
      <c r="V40" s="468"/>
      <c r="W40" s="468"/>
      <c r="X40" s="467"/>
      <c r="Y40" s="467"/>
      <c r="Z40" s="467"/>
      <c r="AA40" s="467"/>
      <c r="AB40" s="467"/>
      <c r="AC40" s="467"/>
    </row>
    <row r="41" spans="1:29">
      <c r="Q41" s="604"/>
      <c r="R41" s="481"/>
      <c r="S41" s="481" t="s">
        <v>894</v>
      </c>
      <c r="T41" s="481"/>
      <c r="U41" s="468"/>
      <c r="V41" s="468"/>
      <c r="W41" s="468"/>
      <c r="X41" s="467"/>
      <c r="Y41" s="467"/>
      <c r="Z41" s="467"/>
      <c r="AA41" s="467"/>
      <c r="AB41" s="467"/>
      <c r="AC41" s="467"/>
    </row>
    <row r="42" spans="1:29">
      <c r="Q42" s="605"/>
      <c r="R42" s="515" t="s">
        <v>895</v>
      </c>
      <c r="S42" s="468"/>
      <c r="T42" s="468"/>
      <c r="U42" s="468"/>
      <c r="V42" s="468"/>
      <c r="W42" s="468"/>
      <c r="X42" s="467"/>
      <c r="Y42" s="467"/>
      <c r="Z42" s="467"/>
      <c r="AA42" s="467"/>
      <c r="AB42" s="467"/>
      <c r="AC42" s="467"/>
    </row>
    <row r="43" spans="1:29">
      <c r="Q43" s="292"/>
      <c r="R43" s="468"/>
      <c r="S43" s="468" t="s">
        <v>896</v>
      </c>
      <c r="T43" s="468"/>
      <c r="U43" s="468"/>
      <c r="V43" s="468"/>
      <c r="W43" s="468"/>
      <c r="X43" s="467"/>
      <c r="Y43" s="467"/>
      <c r="Z43" s="467"/>
      <c r="AA43" s="467"/>
      <c r="AB43" s="467"/>
      <c r="AC43" s="467"/>
    </row>
    <row r="44" spans="1:29">
      <c r="Q44" s="292"/>
      <c r="R44" s="469"/>
      <c r="S44" s="469" t="s">
        <v>897</v>
      </c>
      <c r="T44" s="468"/>
      <c r="U44" s="468"/>
      <c r="V44" s="468"/>
      <c r="W44" s="468"/>
      <c r="X44" s="467"/>
      <c r="Y44" s="467"/>
      <c r="Z44" s="467"/>
      <c r="AA44" s="467"/>
      <c r="AB44" s="467"/>
      <c r="AC44" s="467"/>
    </row>
    <row r="45" spans="1:29">
      <c r="Q45" s="292"/>
      <c r="R45" s="469"/>
      <c r="S45" s="511" t="s">
        <v>898</v>
      </c>
      <c r="T45" s="468"/>
      <c r="U45" s="468"/>
      <c r="V45" s="468"/>
      <c r="W45" s="468"/>
      <c r="X45" s="467"/>
      <c r="Y45" s="467"/>
      <c r="Z45" s="467"/>
      <c r="AA45" s="467"/>
      <c r="AB45" s="467"/>
      <c r="AC45" s="467"/>
    </row>
    <row r="46" spans="1:29">
      <c r="Q46" s="292"/>
      <c r="R46" s="515"/>
      <c r="S46" s="468" t="s">
        <v>899</v>
      </c>
      <c r="T46" s="468"/>
      <c r="U46" s="468"/>
      <c r="V46" s="468"/>
      <c r="W46" s="468"/>
      <c r="X46" s="467"/>
      <c r="Y46" s="467"/>
      <c r="Z46" s="467"/>
      <c r="AA46" s="467"/>
      <c r="AB46" s="467"/>
      <c r="AC46" s="467"/>
    </row>
    <row r="47" spans="1:29">
      <c r="Q47" s="292"/>
      <c r="R47" s="469"/>
      <c r="S47" s="488" t="s">
        <v>152</v>
      </c>
      <c r="T47" s="468"/>
      <c r="U47" s="468"/>
      <c r="V47" s="468"/>
      <c r="W47" s="468"/>
      <c r="X47" s="467"/>
      <c r="Y47" s="467"/>
      <c r="Z47" s="467"/>
      <c r="AA47" s="467"/>
      <c r="AB47" s="467"/>
      <c r="AC47" s="467"/>
    </row>
    <row r="48" spans="1:29">
      <c r="Q48" s="292"/>
      <c r="R48" s="469"/>
      <c r="S48" s="469" t="s">
        <v>153</v>
      </c>
      <c r="T48" s="468"/>
      <c r="U48" s="468"/>
      <c r="V48" s="468"/>
      <c r="W48" s="468"/>
      <c r="X48" s="467"/>
      <c r="Y48" s="467"/>
      <c r="Z48" s="467"/>
      <c r="AA48" s="467"/>
      <c r="AB48" s="467"/>
      <c r="AC48" s="467"/>
    </row>
    <row r="49" spans="17:29">
      <c r="Q49" s="292"/>
      <c r="R49" s="481"/>
      <c r="S49" s="495" t="s">
        <v>900</v>
      </c>
      <c r="T49" s="481"/>
      <c r="U49" s="467"/>
      <c r="V49" s="468"/>
      <c r="W49" s="468"/>
      <c r="X49" s="467"/>
      <c r="Y49" s="467"/>
      <c r="Z49" s="467"/>
      <c r="AA49" s="467"/>
      <c r="AB49" s="467"/>
      <c r="AC49" s="467"/>
    </row>
    <row r="50" spans="17:29">
      <c r="Q50" s="292"/>
      <c r="R50" s="497" t="s">
        <v>901</v>
      </c>
      <c r="S50" s="516"/>
      <c r="T50" s="468"/>
      <c r="U50" s="467"/>
      <c r="V50" s="468"/>
      <c r="W50" s="468"/>
      <c r="X50" s="467"/>
      <c r="Y50" s="467"/>
      <c r="Z50" s="467"/>
      <c r="AA50" s="467"/>
      <c r="AB50" s="467"/>
      <c r="AC50" s="467"/>
    </row>
    <row r="51" spans="17:29">
      <c r="Q51" s="292"/>
      <c r="R51" s="488"/>
      <c r="S51" s="490" t="s">
        <v>902</v>
      </c>
      <c r="T51" s="489"/>
      <c r="U51" s="467"/>
      <c r="V51" s="468"/>
      <c r="W51" s="468"/>
      <c r="X51" s="467"/>
      <c r="Y51" s="467"/>
      <c r="Z51" s="467"/>
      <c r="AA51" s="467"/>
      <c r="AB51" s="467"/>
      <c r="AC51" s="467"/>
    </row>
    <row r="52" spans="17:29">
      <c r="Q52" s="292"/>
      <c r="R52" s="488"/>
      <c r="S52" s="511" t="s">
        <v>903</v>
      </c>
      <c r="T52" s="489"/>
      <c r="U52" s="468"/>
      <c r="V52" s="468"/>
      <c r="W52" s="468"/>
      <c r="X52" s="467"/>
      <c r="Y52" s="467"/>
      <c r="Z52" s="467"/>
      <c r="AA52" s="467"/>
      <c r="AB52" s="467"/>
      <c r="AC52" s="467"/>
    </row>
    <row r="53" spans="17:29">
      <c r="Q53" s="292"/>
      <c r="R53" s="488"/>
      <c r="S53" s="490" t="s">
        <v>904</v>
      </c>
      <c r="T53" s="489"/>
      <c r="U53" s="468"/>
      <c r="V53" s="468"/>
      <c r="W53" s="468"/>
      <c r="X53" s="467"/>
      <c r="Y53" s="467"/>
      <c r="Z53" s="467"/>
      <c r="AA53" s="467"/>
      <c r="AB53" s="467"/>
      <c r="AC53" s="467"/>
    </row>
    <row r="54" spans="17:29">
      <c r="Q54" s="292"/>
      <c r="R54" s="481"/>
      <c r="S54" s="468"/>
      <c r="T54" s="468"/>
      <c r="U54" s="468"/>
      <c r="V54" s="468"/>
      <c r="W54" s="468"/>
      <c r="X54" s="467"/>
      <c r="Y54" s="467"/>
      <c r="Z54" s="467"/>
      <c r="AA54" s="467"/>
      <c r="AB54" s="467"/>
      <c r="AC54" s="467"/>
    </row>
    <row r="55" spans="17:29">
      <c r="Q55" s="292"/>
      <c r="R55" s="497" t="s">
        <v>535</v>
      </c>
      <c r="S55" s="468"/>
      <c r="T55" s="468"/>
      <c r="U55" s="468"/>
      <c r="V55" s="468"/>
      <c r="W55" s="468"/>
      <c r="X55" s="467"/>
      <c r="Y55" s="467"/>
      <c r="Z55" s="467"/>
      <c r="AA55" s="467"/>
      <c r="AB55" s="467"/>
      <c r="AC55" s="467"/>
    </row>
    <row r="56" spans="17:29">
      <c r="Q56" s="292"/>
      <c r="R56" s="508" t="s">
        <v>875</v>
      </c>
      <c r="S56" s="468"/>
      <c r="T56" s="468"/>
      <c r="U56" s="468"/>
      <c r="V56" s="468"/>
      <c r="W56" s="468"/>
      <c r="X56" s="467"/>
      <c r="Y56" s="467"/>
      <c r="Z56" s="467"/>
      <c r="AA56" s="467"/>
      <c r="AB56" s="467"/>
      <c r="AC56" s="467"/>
    </row>
    <row r="57" spans="17:29">
      <c r="Q57" s="292"/>
      <c r="R57" s="508" t="s">
        <v>869</v>
      </c>
      <c r="S57" s="468"/>
      <c r="T57" s="468"/>
      <c r="U57" s="468"/>
      <c r="V57" s="468"/>
      <c r="W57" s="468"/>
      <c r="X57" s="467"/>
      <c r="Y57" s="467"/>
      <c r="Z57" s="467"/>
      <c r="AA57" s="467"/>
      <c r="AB57" s="467"/>
      <c r="AC57" s="467"/>
    </row>
    <row r="58" spans="17:29">
      <c r="Q58" s="292"/>
      <c r="R58" s="479" t="s">
        <v>882</v>
      </c>
      <c r="S58" s="469"/>
      <c r="T58" s="468"/>
      <c r="U58" s="468"/>
      <c r="V58" s="468"/>
      <c r="W58" s="468"/>
      <c r="X58" s="467"/>
      <c r="Y58" s="467"/>
      <c r="Z58" s="467"/>
      <c r="AA58" s="467"/>
      <c r="AB58" s="467"/>
      <c r="AC58" s="467"/>
    </row>
    <row r="59" spans="17:29">
      <c r="Q59" s="292"/>
      <c r="R59" s="497" t="s">
        <v>887</v>
      </c>
      <c r="S59" s="469"/>
      <c r="T59" s="468"/>
      <c r="U59" s="468"/>
      <c r="V59" s="468"/>
      <c r="W59" s="468"/>
      <c r="X59" s="467"/>
      <c r="Y59" s="467"/>
      <c r="Z59" s="467"/>
      <c r="AA59" s="467"/>
      <c r="AB59" s="467"/>
      <c r="AC59" s="467"/>
    </row>
  </sheetData>
  <mergeCells count="1">
    <mergeCell ref="R6:Y6"/>
  </mergeCells>
  <dataValidations count="2">
    <dataValidation type="list" allowBlank="1" showInputMessage="1" showErrorMessage="1" sqref="P31 P28 N11 P10" xr:uid="{00000000-0002-0000-1000-000000000000}">
      <formula1>choix</formula1>
    </dataValidation>
    <dataValidation type="list" allowBlank="1" showInputMessage="1" showErrorMessage="1" sqref="B32:B35 B12:B15 B24:B28 B18:B21 S21:S25 S28:S31 S16:S19 S11:S14 R30:R31" xr:uid="{00000000-0002-0000-1000-000001000000}">
      <formula1>Choix_capacité</formula1>
    </dataValidation>
  </dataValidations>
  <pageMargins left="0.7" right="0.7" top="0.75" bottom="0.75" header="0.3" footer="0.3"/>
  <pageSetup paperSize="9" scale="26"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8">
    <tabColor theme="4"/>
    <pageSetUpPr fitToPage="1"/>
  </sheetPr>
  <dimension ref="A1:AC70"/>
  <sheetViews>
    <sheetView topLeftCell="D28" zoomScale="80" zoomScaleNormal="80" workbookViewId="0">
      <selection activeCell="Q2" sqref="Q2:AB66"/>
    </sheetView>
  </sheetViews>
  <sheetFormatPr baseColWidth="10" defaultRowHeight="15"/>
  <cols>
    <col min="1" max="1" width="20.5" customWidth="1"/>
    <col min="2" max="2" width="13.6640625" customWidth="1"/>
    <col min="3" max="3" width="17.6640625" customWidth="1"/>
    <col min="13" max="13" width="15.1640625" customWidth="1"/>
    <col min="14" max="15" width="13.5" bestFit="1" customWidth="1"/>
    <col min="18" max="18" width="17.6640625" customWidth="1"/>
    <col min="22" max="22" width="19.1640625" customWidth="1"/>
  </cols>
  <sheetData>
    <row r="1" spans="1:29" ht="16" thickBot="1"/>
    <row r="2" spans="1:29" ht="19">
      <c r="Q2" s="272" t="s">
        <v>108</v>
      </c>
      <c r="R2" s="228" t="s">
        <v>126</v>
      </c>
      <c r="S2" s="229" t="s">
        <v>27</v>
      </c>
      <c r="T2" s="671" t="s">
        <v>154</v>
      </c>
      <c r="U2" s="983"/>
    </row>
    <row r="3" spans="1:29" ht="16" thickBot="1">
      <c r="Q3" s="983"/>
      <c r="R3" s="230" t="s">
        <v>55</v>
      </c>
      <c r="S3" s="231">
        <v>3</v>
      </c>
      <c r="T3" s="983"/>
      <c r="U3" s="983"/>
    </row>
    <row r="4" spans="1:29" ht="20" thickBot="1">
      <c r="B4" s="272" t="s">
        <v>108</v>
      </c>
      <c r="C4" s="228" t="s">
        <v>126</v>
      </c>
      <c r="D4" s="229" t="s">
        <v>27</v>
      </c>
      <c r="E4" s="227" t="s">
        <v>154</v>
      </c>
      <c r="G4" s="260"/>
      <c r="Q4" s="983"/>
      <c r="R4" s="232" t="s">
        <v>62</v>
      </c>
      <c r="S4" s="986">
        <v>49</v>
      </c>
      <c r="T4" s="983"/>
      <c r="U4" s="983"/>
    </row>
    <row r="5" spans="1:29">
      <c r="C5" s="230" t="s">
        <v>55</v>
      </c>
      <c r="D5" s="231">
        <v>3</v>
      </c>
    </row>
    <row r="6" spans="1:29" ht="16" thickBot="1">
      <c r="C6" s="232" t="s">
        <v>62</v>
      </c>
      <c r="D6" s="252">
        <v>49</v>
      </c>
      <c r="P6" s="680"/>
      <c r="Q6" s="680"/>
      <c r="Y6" s="467"/>
      <c r="Z6" s="467"/>
      <c r="AA6" s="467"/>
      <c r="AB6" s="467"/>
      <c r="AC6" s="467"/>
    </row>
    <row r="7" spans="1:29" ht="17" thickBot="1">
      <c r="P7" s="292"/>
      <c r="Q7" s="1041" t="s">
        <v>567</v>
      </c>
      <c r="R7" s="1042"/>
      <c r="S7" s="1042"/>
      <c r="T7" s="1042"/>
      <c r="U7" s="1042"/>
      <c r="V7" s="1042"/>
      <c r="W7" s="1042"/>
      <c r="X7" s="1042"/>
      <c r="Y7" s="467"/>
      <c r="Z7" s="467"/>
      <c r="AA7" s="467"/>
      <c r="AB7" s="467"/>
      <c r="AC7" s="467"/>
    </row>
    <row r="8" spans="1:29" ht="49" thickBot="1">
      <c r="N8" s="320" t="s">
        <v>125</v>
      </c>
      <c r="O8" s="320" t="s">
        <v>408</v>
      </c>
      <c r="P8" s="292"/>
      <c r="Q8" s="498" t="s">
        <v>529</v>
      </c>
      <c r="R8" s="469"/>
      <c r="S8" s="469"/>
      <c r="T8" s="467"/>
      <c r="U8" s="467"/>
      <c r="V8" s="467"/>
      <c r="W8" s="467"/>
      <c r="X8" s="467"/>
      <c r="Y8" s="467"/>
      <c r="Z8" s="467"/>
      <c r="AA8" s="467"/>
      <c r="AB8" s="467"/>
      <c r="AC8" s="467"/>
    </row>
    <row r="9" spans="1:29" ht="16" thickBot="1">
      <c r="P9" s="292"/>
      <c r="Q9" s="1076" t="s">
        <v>124</v>
      </c>
      <c r="R9" s="1077"/>
      <c r="S9" s="1077"/>
      <c r="T9" s="1077"/>
      <c r="U9" s="1077"/>
      <c r="V9" s="1077"/>
      <c r="W9" s="1077"/>
      <c r="X9" s="1077"/>
      <c r="Y9" s="1077"/>
      <c r="Z9" s="1077"/>
      <c r="AA9" s="1077"/>
      <c r="AB9" s="467"/>
      <c r="AC9" s="467"/>
    </row>
    <row r="10" spans="1:29" ht="17" thickBot="1">
      <c r="A10" s="493" t="s">
        <v>127</v>
      </c>
      <c r="B10" s="472"/>
      <c r="C10" s="1038" t="s">
        <v>124</v>
      </c>
      <c r="D10" s="1039"/>
      <c r="E10" s="1039"/>
      <c r="F10" s="1039"/>
      <c r="G10" s="1039"/>
      <c r="H10" s="1039"/>
      <c r="I10" s="1039"/>
      <c r="J10" s="1039"/>
      <c r="K10" s="1039"/>
      <c r="L10" s="1039"/>
      <c r="M10" s="1039"/>
      <c r="N10" s="478">
        <v>3</v>
      </c>
      <c r="O10" s="492" t="s">
        <v>407</v>
      </c>
      <c r="P10" s="292"/>
      <c r="Q10" s="503" t="s">
        <v>488</v>
      </c>
      <c r="R10" s="500" t="s">
        <v>905</v>
      </c>
      <c r="S10" s="500"/>
      <c r="T10" s="500"/>
      <c r="U10" s="500"/>
      <c r="V10" s="500"/>
      <c r="W10" s="500"/>
      <c r="X10" s="500"/>
      <c r="Y10" s="467"/>
      <c r="Z10" s="467"/>
      <c r="AA10" s="467"/>
      <c r="AB10" s="467"/>
      <c r="AC10" s="467"/>
    </row>
    <row r="11" spans="1:29" ht="16">
      <c r="A11" s="503" t="s">
        <v>488</v>
      </c>
      <c r="B11" s="519" t="s">
        <v>905</v>
      </c>
      <c r="C11" s="519"/>
      <c r="D11" s="519"/>
      <c r="E11" s="519"/>
      <c r="F11" s="519"/>
      <c r="G11" s="519"/>
      <c r="H11" s="519"/>
      <c r="I11" s="519"/>
      <c r="J11" s="519"/>
      <c r="K11" s="519"/>
      <c r="L11" s="519"/>
      <c r="M11" s="467"/>
      <c r="N11" s="481"/>
      <c r="P11" s="292"/>
      <c r="Q11" s="467"/>
      <c r="R11" s="479" t="s">
        <v>410</v>
      </c>
      <c r="S11" s="494" t="s">
        <v>906</v>
      </c>
      <c r="T11" s="467"/>
      <c r="U11" s="467"/>
      <c r="V11" s="467"/>
      <c r="W11" s="467"/>
      <c r="X11" s="467"/>
      <c r="Y11" s="467"/>
      <c r="Z11" s="467"/>
      <c r="AA11" s="467"/>
      <c r="AB11" s="467"/>
      <c r="AC11" s="467"/>
    </row>
    <row r="12" spans="1:29">
      <c r="A12" s="467"/>
      <c r="B12" s="479" t="s">
        <v>410</v>
      </c>
      <c r="C12" s="716" t="s">
        <v>906</v>
      </c>
      <c r="D12" s="467"/>
      <c r="E12" s="467"/>
      <c r="F12" s="467"/>
      <c r="G12" s="467"/>
      <c r="H12" s="467"/>
      <c r="I12" s="467"/>
      <c r="J12" s="467"/>
      <c r="K12" s="467"/>
      <c r="L12" s="467"/>
      <c r="M12" s="467"/>
      <c r="N12" s="467"/>
      <c r="P12" s="292"/>
      <c r="Q12" s="467"/>
      <c r="R12" s="479" t="s">
        <v>410</v>
      </c>
      <c r="S12" s="494" t="s">
        <v>907</v>
      </c>
      <c r="T12" s="467"/>
      <c r="U12" s="467"/>
      <c r="V12" s="467"/>
      <c r="W12" s="467"/>
      <c r="X12" s="467"/>
      <c r="Y12" s="467"/>
      <c r="Z12" s="467"/>
      <c r="AA12" s="467"/>
      <c r="AB12" s="467"/>
      <c r="AC12" s="467"/>
    </row>
    <row r="13" spans="1:29">
      <c r="A13" s="467"/>
      <c r="B13" s="479" t="s">
        <v>410</v>
      </c>
      <c r="C13" s="716" t="s">
        <v>907</v>
      </c>
      <c r="D13" s="467"/>
      <c r="E13" s="467"/>
      <c r="F13" s="467"/>
      <c r="G13" s="467"/>
      <c r="H13" s="467"/>
      <c r="I13" s="467"/>
      <c r="J13" s="467"/>
      <c r="K13" s="467"/>
      <c r="L13" s="467"/>
      <c r="M13" s="467"/>
      <c r="N13" s="467"/>
      <c r="P13" s="292"/>
      <c r="Q13" s="467"/>
      <c r="R13" s="479" t="s">
        <v>410</v>
      </c>
      <c r="S13" s="494" t="s">
        <v>908</v>
      </c>
      <c r="T13" s="467"/>
      <c r="U13" s="467"/>
      <c r="V13" s="467"/>
      <c r="W13" s="467"/>
      <c r="X13" s="467"/>
      <c r="Y13" s="467"/>
      <c r="Z13" s="467"/>
      <c r="AA13" s="467"/>
      <c r="AB13" s="467"/>
      <c r="AC13" s="467"/>
    </row>
    <row r="14" spans="1:29">
      <c r="A14" s="467"/>
      <c r="B14" s="479" t="s">
        <v>410</v>
      </c>
      <c r="C14" s="716" t="s">
        <v>908</v>
      </c>
      <c r="D14" s="467"/>
      <c r="E14" s="467"/>
      <c r="F14" s="467"/>
      <c r="G14" s="467"/>
      <c r="H14" s="467"/>
      <c r="I14" s="467"/>
      <c r="J14" s="467"/>
      <c r="K14" s="467"/>
      <c r="L14" s="467"/>
      <c r="M14" s="467"/>
      <c r="N14" s="467"/>
      <c r="P14" s="292"/>
      <c r="Q14" s="467"/>
      <c r="R14" s="479" t="s">
        <v>410</v>
      </c>
      <c r="S14" s="494" t="s">
        <v>909</v>
      </c>
      <c r="T14" s="467"/>
      <c r="U14" s="467"/>
      <c r="V14" s="467"/>
      <c r="W14" s="467"/>
      <c r="X14" s="467"/>
      <c r="Y14" s="467"/>
      <c r="Z14" s="467"/>
      <c r="AA14" s="467"/>
      <c r="AB14" s="467"/>
      <c r="AC14" s="467"/>
    </row>
    <row r="15" spans="1:29">
      <c r="A15" s="467"/>
      <c r="B15" s="479" t="s">
        <v>410</v>
      </c>
      <c r="C15" s="716" t="s">
        <v>909</v>
      </c>
      <c r="D15" s="467"/>
      <c r="E15" s="467"/>
      <c r="F15" s="467"/>
      <c r="G15" s="467"/>
      <c r="H15" s="467"/>
      <c r="I15" s="467"/>
      <c r="J15" s="467"/>
      <c r="K15" s="467"/>
      <c r="L15" s="467"/>
      <c r="M15" s="467"/>
      <c r="N15" s="467"/>
      <c r="P15" s="292"/>
      <c r="Q15" s="467"/>
      <c r="R15" s="479" t="s">
        <v>410</v>
      </c>
      <c r="S15" s="434" t="s">
        <v>910</v>
      </c>
      <c r="T15" s="467"/>
      <c r="U15" s="467"/>
      <c r="V15" s="467"/>
      <c r="W15" s="467"/>
      <c r="X15" s="467"/>
      <c r="Y15" s="467"/>
      <c r="Z15" s="467"/>
      <c r="AA15" s="467"/>
      <c r="AB15" s="467"/>
      <c r="AC15" s="467"/>
    </row>
    <row r="16" spans="1:29" ht="16">
      <c r="A16" s="467"/>
      <c r="B16" s="479" t="s">
        <v>410</v>
      </c>
      <c r="C16" s="721" t="s">
        <v>910</v>
      </c>
      <c r="D16" s="467"/>
      <c r="E16" s="467"/>
      <c r="F16" s="467"/>
      <c r="G16" s="467"/>
      <c r="H16" s="467"/>
      <c r="I16" s="467"/>
      <c r="J16" s="467"/>
      <c r="K16" s="467"/>
      <c r="L16" s="467"/>
      <c r="M16" s="467"/>
      <c r="N16" s="467"/>
      <c r="P16" s="292"/>
      <c r="Q16" s="467"/>
      <c r="R16" s="479" t="s">
        <v>411</v>
      </c>
      <c r="S16" s="467" t="s">
        <v>911</v>
      </c>
      <c r="T16" s="467"/>
      <c r="U16" s="467"/>
      <c r="V16" s="467"/>
      <c r="W16" s="467"/>
      <c r="X16" s="509"/>
      <c r="Y16" s="467"/>
      <c r="Z16" s="467"/>
      <c r="AA16" s="467"/>
      <c r="AB16" s="467"/>
      <c r="AC16" s="467"/>
    </row>
    <row r="17" spans="1:29">
      <c r="A17" s="467"/>
      <c r="B17" s="479" t="s">
        <v>411</v>
      </c>
      <c r="C17" s="467" t="s">
        <v>911</v>
      </c>
      <c r="D17" s="467"/>
      <c r="E17" s="467"/>
      <c r="F17" s="467"/>
      <c r="G17" s="467"/>
      <c r="H17" s="467"/>
      <c r="I17" s="467"/>
      <c r="J17" s="467"/>
      <c r="K17" s="467"/>
      <c r="L17" s="467"/>
      <c r="M17" s="467"/>
      <c r="N17" s="467"/>
      <c r="P17" s="292"/>
      <c r="Q17" s="467"/>
      <c r="R17" s="479" t="s">
        <v>411</v>
      </c>
      <c r="S17" s="467" t="s">
        <v>912</v>
      </c>
      <c r="T17" s="467"/>
      <c r="U17" s="467"/>
      <c r="V17" s="467"/>
      <c r="W17" s="467"/>
      <c r="X17" s="467"/>
      <c r="Y17" s="467"/>
      <c r="Z17" s="467"/>
      <c r="AA17" s="467"/>
      <c r="AB17" s="467"/>
      <c r="AC17" s="467"/>
    </row>
    <row r="18" spans="1:29">
      <c r="A18" s="467"/>
      <c r="B18" s="479" t="s">
        <v>411</v>
      </c>
      <c r="C18" s="467" t="s">
        <v>912</v>
      </c>
      <c r="D18" s="467"/>
      <c r="E18" s="467"/>
      <c r="F18" s="467"/>
      <c r="G18" s="467"/>
      <c r="H18" s="467"/>
      <c r="I18" s="467"/>
      <c r="J18" s="467"/>
      <c r="K18" s="467"/>
      <c r="L18" s="467"/>
      <c r="M18" s="467"/>
      <c r="N18" s="467"/>
      <c r="P18" s="292"/>
      <c r="Q18" s="467"/>
      <c r="R18" s="479" t="s">
        <v>411</v>
      </c>
      <c r="S18" s="434" t="s">
        <v>913</v>
      </c>
      <c r="T18" s="467"/>
      <c r="U18" s="467"/>
      <c r="V18" s="467"/>
      <c r="W18" s="467"/>
      <c r="X18" s="467"/>
      <c r="Y18" s="467"/>
      <c r="Z18" s="467"/>
      <c r="AA18" s="467"/>
      <c r="AB18" s="467"/>
      <c r="AC18" s="467"/>
    </row>
    <row r="19" spans="1:29">
      <c r="A19" s="467"/>
      <c r="B19" s="479" t="s">
        <v>411</v>
      </c>
      <c r="C19" s="434" t="s">
        <v>913</v>
      </c>
      <c r="D19" s="467"/>
      <c r="E19" s="467"/>
      <c r="F19" s="467"/>
      <c r="G19" s="467"/>
      <c r="H19" s="467"/>
      <c r="I19" s="467"/>
      <c r="J19" s="467"/>
      <c r="K19" s="467"/>
      <c r="L19" s="467"/>
      <c r="M19" s="467"/>
      <c r="N19" s="467"/>
      <c r="P19" s="292"/>
      <c r="Q19" s="526" t="s">
        <v>478</v>
      </c>
      <c r="R19" s="479"/>
      <c r="S19" s="467"/>
      <c r="T19" s="467"/>
      <c r="U19" s="467"/>
      <c r="V19" s="467"/>
      <c r="W19" s="467"/>
      <c r="X19" s="467"/>
      <c r="Y19" s="467"/>
      <c r="Z19" s="467"/>
      <c r="AA19" s="467"/>
      <c r="AB19" s="467"/>
      <c r="AC19" s="467"/>
    </row>
    <row r="20" spans="1:29" ht="16">
      <c r="A20" s="467"/>
      <c r="B20" s="479" t="s">
        <v>130</v>
      </c>
      <c r="C20" s="392" t="s">
        <v>914</v>
      </c>
      <c r="D20" s="467"/>
      <c r="E20" s="467"/>
      <c r="F20" s="467"/>
      <c r="G20" s="467"/>
      <c r="H20" s="467"/>
      <c r="I20" s="467"/>
      <c r="J20" s="467"/>
      <c r="K20" s="467"/>
      <c r="L20" s="467"/>
      <c r="M20" s="467"/>
      <c r="N20" s="467"/>
      <c r="P20" s="292"/>
      <c r="Q20" s="503" t="s">
        <v>488</v>
      </c>
      <c r="R20" s="523" t="s">
        <v>915</v>
      </c>
      <c r="S20" s="401"/>
      <c r="T20" s="401"/>
      <c r="U20" s="401"/>
      <c r="V20" s="509"/>
      <c r="W20" s="467"/>
      <c r="X20" s="467"/>
      <c r="Y20" s="467"/>
      <c r="Z20" s="467"/>
      <c r="AA20" s="467"/>
      <c r="AB20" s="467"/>
      <c r="AC20" s="467"/>
    </row>
    <row r="21" spans="1:29" ht="16" thickBot="1">
      <c r="A21" s="467"/>
      <c r="B21" s="467"/>
      <c r="C21" s="467"/>
      <c r="D21" s="467"/>
      <c r="E21" s="467"/>
      <c r="F21" s="467"/>
      <c r="G21" s="467"/>
      <c r="H21" s="467"/>
      <c r="I21" s="467"/>
      <c r="J21" s="467"/>
      <c r="K21" s="467"/>
      <c r="L21" s="467"/>
      <c r="M21" s="467"/>
      <c r="N21" s="467"/>
      <c r="P21" s="292"/>
      <c r="Q21" s="467"/>
      <c r="R21" s="525" t="s">
        <v>410</v>
      </c>
      <c r="S21" s="434" t="s">
        <v>916</v>
      </c>
      <c r="T21" s="434"/>
      <c r="U21" s="434"/>
      <c r="V21" s="467"/>
      <c r="W21" s="467"/>
      <c r="X21" s="467"/>
      <c r="Y21" s="467"/>
      <c r="Z21" s="467"/>
      <c r="AA21" s="467"/>
      <c r="AB21" s="467"/>
      <c r="AC21" s="467"/>
    </row>
    <row r="22" spans="1:29" ht="17" thickBot="1">
      <c r="A22" s="493" t="s">
        <v>128</v>
      </c>
      <c r="B22" s="520" t="s">
        <v>478</v>
      </c>
      <c r="C22" s="521"/>
      <c r="D22" s="521"/>
      <c r="E22" s="521"/>
      <c r="F22" s="521"/>
      <c r="G22" s="521"/>
      <c r="H22" s="521"/>
      <c r="I22" s="521"/>
      <c r="J22" s="521"/>
      <c r="K22" s="521"/>
      <c r="L22" s="521"/>
      <c r="M22" s="522"/>
      <c r="N22" s="478">
        <v>3</v>
      </c>
      <c r="O22" s="492" t="s">
        <v>407</v>
      </c>
      <c r="P22" s="292"/>
      <c r="Q22" s="467"/>
      <c r="R22" s="525" t="s">
        <v>410</v>
      </c>
      <c r="S22" s="434" t="s">
        <v>917</v>
      </c>
      <c r="T22" s="434"/>
      <c r="U22" s="434"/>
      <c r="V22" s="467"/>
      <c r="W22" s="509"/>
      <c r="X22" s="509"/>
      <c r="Y22" s="467"/>
      <c r="Z22" s="467"/>
      <c r="AA22" s="467"/>
      <c r="AB22" s="467"/>
      <c r="AC22" s="467"/>
    </row>
    <row r="23" spans="1:29" ht="15.75" customHeight="1">
      <c r="A23" s="503" t="s">
        <v>488</v>
      </c>
      <c r="B23" s="523" t="s">
        <v>915</v>
      </c>
      <c r="C23" s="401"/>
      <c r="D23" s="401"/>
      <c r="E23" s="401"/>
      <c r="F23" s="401"/>
      <c r="G23" s="401"/>
      <c r="H23" s="401"/>
      <c r="I23" s="401"/>
      <c r="J23" s="401"/>
      <c r="K23" s="401"/>
      <c r="L23" s="401"/>
      <c r="M23" s="401"/>
      <c r="N23" s="524"/>
      <c r="P23" s="292"/>
      <c r="Q23" s="467"/>
      <c r="R23" s="525" t="s">
        <v>411</v>
      </c>
      <c r="S23" s="434" t="s">
        <v>918</v>
      </c>
      <c r="T23" s="434"/>
      <c r="U23" s="434"/>
      <c r="V23" s="467"/>
      <c r="W23" s="467"/>
      <c r="X23" s="467"/>
      <c r="Y23" s="467"/>
      <c r="Z23" s="467"/>
      <c r="AA23" s="467"/>
      <c r="AB23" s="467"/>
      <c r="AC23" s="467"/>
    </row>
    <row r="24" spans="1:29" ht="15.75" customHeight="1">
      <c r="A24" s="467"/>
      <c r="B24" s="525" t="s">
        <v>410</v>
      </c>
      <c r="C24" s="721" t="s">
        <v>916</v>
      </c>
      <c r="D24" s="434"/>
      <c r="E24" s="434"/>
      <c r="F24" s="434"/>
      <c r="G24" s="434"/>
      <c r="H24" s="434"/>
      <c r="I24" s="434"/>
      <c r="J24" s="434"/>
      <c r="K24" s="434"/>
      <c r="L24" s="434"/>
      <c r="M24" s="434"/>
      <c r="N24" s="467"/>
      <c r="P24" s="292"/>
      <c r="Q24" s="467"/>
      <c r="R24" s="525" t="s">
        <v>411</v>
      </c>
      <c r="S24" s="434" t="s">
        <v>919</v>
      </c>
      <c r="T24" s="434"/>
      <c r="U24" s="434"/>
      <c r="V24" s="467"/>
      <c r="W24" s="467"/>
      <c r="X24" s="467"/>
      <c r="Y24" s="467"/>
      <c r="Z24" s="467"/>
      <c r="AA24" s="467"/>
      <c r="AB24" s="467"/>
      <c r="AC24" s="467"/>
    </row>
    <row r="25" spans="1:29" ht="15" customHeight="1">
      <c r="A25" s="467"/>
      <c r="B25" s="525" t="s">
        <v>410</v>
      </c>
      <c r="C25" s="721" t="s">
        <v>917</v>
      </c>
      <c r="D25" s="434"/>
      <c r="E25" s="434"/>
      <c r="F25" s="434"/>
      <c r="G25" s="434"/>
      <c r="H25" s="434"/>
      <c r="I25" s="434"/>
      <c r="J25" s="434"/>
      <c r="K25" s="434"/>
      <c r="L25" s="434"/>
      <c r="M25" s="434"/>
      <c r="N25" s="467"/>
      <c r="P25" s="292"/>
      <c r="Q25" s="503" t="s">
        <v>488</v>
      </c>
      <c r="R25" s="523" t="s">
        <v>921</v>
      </c>
      <c r="S25" s="523"/>
      <c r="T25" s="523"/>
      <c r="U25" s="434"/>
      <c r="V25" s="467"/>
      <c r="W25" s="467"/>
      <c r="X25" s="467"/>
      <c r="Y25" s="467"/>
      <c r="Z25" s="467"/>
      <c r="AA25" s="467"/>
      <c r="AB25" s="467"/>
      <c r="AC25" s="467"/>
    </row>
    <row r="26" spans="1:29" ht="15" customHeight="1">
      <c r="A26" s="467"/>
      <c r="B26" s="525" t="s">
        <v>411</v>
      </c>
      <c r="C26" s="434" t="s">
        <v>918</v>
      </c>
      <c r="D26" s="434"/>
      <c r="E26" s="434"/>
      <c r="F26" s="434"/>
      <c r="G26" s="434"/>
      <c r="H26" s="434"/>
      <c r="I26" s="434"/>
      <c r="J26" s="434"/>
      <c r="K26" s="434"/>
      <c r="L26" s="434"/>
      <c r="M26" s="434"/>
      <c r="N26" s="467"/>
      <c r="P26" s="292"/>
      <c r="Q26" s="467"/>
      <c r="R26" s="525" t="s">
        <v>410</v>
      </c>
      <c r="S26" s="434" t="s">
        <v>922</v>
      </c>
      <c r="T26" s="434"/>
      <c r="U26" s="523"/>
      <c r="V26" s="467"/>
      <c r="W26" s="467"/>
      <c r="X26" s="467"/>
      <c r="Y26" s="467"/>
      <c r="Z26" s="467"/>
      <c r="AA26" s="467"/>
      <c r="AB26" s="467"/>
      <c r="AC26" s="467"/>
    </row>
    <row r="27" spans="1:29">
      <c r="A27" s="467"/>
      <c r="B27" s="525" t="s">
        <v>411</v>
      </c>
      <c r="C27" s="434" t="s">
        <v>919</v>
      </c>
      <c r="D27" s="434"/>
      <c r="E27" s="434"/>
      <c r="F27" s="434"/>
      <c r="G27" s="434"/>
      <c r="H27" s="434"/>
      <c r="I27" s="434"/>
      <c r="J27" s="434"/>
      <c r="K27" s="434"/>
      <c r="L27" s="434"/>
      <c r="M27" s="434"/>
      <c r="N27" s="467"/>
      <c r="P27" s="292"/>
      <c r="Q27" s="467"/>
      <c r="R27" s="525" t="s">
        <v>410</v>
      </c>
      <c r="S27" s="434" t="s">
        <v>923</v>
      </c>
      <c r="T27" s="434"/>
      <c r="U27" s="434"/>
      <c r="V27" s="467"/>
      <c r="W27" s="467"/>
      <c r="X27" s="467"/>
      <c r="Y27" s="467"/>
      <c r="Z27" s="467"/>
      <c r="AA27" s="467"/>
      <c r="AB27" s="467"/>
      <c r="AC27" s="467"/>
    </row>
    <row r="28" spans="1:29">
      <c r="A28" s="467"/>
      <c r="B28" s="525" t="s">
        <v>130</v>
      </c>
      <c r="C28" s="392" t="s">
        <v>920</v>
      </c>
      <c r="D28" s="434"/>
      <c r="E28" s="434"/>
      <c r="F28" s="434"/>
      <c r="G28" s="434"/>
      <c r="H28" s="434"/>
      <c r="I28" s="434"/>
      <c r="J28" s="434"/>
      <c r="K28" s="434"/>
      <c r="L28" s="434"/>
      <c r="M28" s="434"/>
      <c r="N28" s="467"/>
      <c r="P28" s="292"/>
      <c r="Q28" s="467"/>
      <c r="R28" s="525" t="s">
        <v>410</v>
      </c>
      <c r="S28" s="434" t="s">
        <v>924</v>
      </c>
      <c r="T28" s="434"/>
      <c r="U28" s="434"/>
      <c r="V28" s="467"/>
      <c r="W28" s="467"/>
      <c r="X28" s="467"/>
      <c r="Y28" s="467"/>
      <c r="Z28" s="467"/>
      <c r="AA28" s="467"/>
      <c r="AB28" s="467"/>
      <c r="AC28" s="467"/>
    </row>
    <row r="29" spans="1:29" ht="16">
      <c r="A29" s="503" t="s">
        <v>488</v>
      </c>
      <c r="B29" s="523" t="s">
        <v>921</v>
      </c>
      <c r="C29" s="523"/>
      <c r="D29" s="523"/>
      <c r="E29" s="523"/>
      <c r="F29" s="467"/>
      <c r="G29" s="523"/>
      <c r="H29" s="523"/>
      <c r="I29" s="401"/>
      <c r="J29" s="401"/>
      <c r="K29" s="401"/>
      <c r="L29" s="401"/>
      <c r="M29" s="401"/>
      <c r="N29" s="467"/>
      <c r="P29" s="292"/>
      <c r="Q29" s="467"/>
      <c r="R29" s="525" t="s">
        <v>410</v>
      </c>
      <c r="S29" s="434" t="s">
        <v>925</v>
      </c>
      <c r="T29" s="434"/>
      <c r="U29" s="434"/>
      <c r="V29" s="467"/>
      <c r="W29" s="467"/>
      <c r="X29" s="467"/>
      <c r="Y29" s="467"/>
      <c r="Z29" s="467"/>
      <c r="AA29" s="467"/>
      <c r="AB29" s="467"/>
      <c r="AC29" s="467"/>
    </row>
    <row r="30" spans="1:29">
      <c r="A30" s="467"/>
      <c r="B30" s="525" t="s">
        <v>410</v>
      </c>
      <c r="C30" s="721" t="s">
        <v>922</v>
      </c>
      <c r="D30" s="434"/>
      <c r="E30" s="434"/>
      <c r="F30" s="434"/>
      <c r="G30" s="434"/>
      <c r="H30" s="434"/>
      <c r="I30" s="523"/>
      <c r="J30" s="523"/>
      <c r="K30" s="523"/>
      <c r="L30" s="523"/>
      <c r="M30" s="523"/>
      <c r="N30" s="467"/>
      <c r="P30" s="292"/>
      <c r="Q30" s="467"/>
      <c r="R30" s="525" t="s">
        <v>411</v>
      </c>
      <c r="S30" s="434" t="s">
        <v>926</v>
      </c>
      <c r="T30" s="434"/>
      <c r="U30" s="434"/>
      <c r="V30" s="467"/>
      <c r="W30" s="467"/>
      <c r="X30" s="467"/>
      <c r="Y30" s="467"/>
      <c r="Z30" s="467"/>
      <c r="AA30" s="467"/>
      <c r="AB30" s="467"/>
      <c r="AC30" s="467"/>
    </row>
    <row r="31" spans="1:29">
      <c r="A31" s="467"/>
      <c r="B31" s="525" t="s">
        <v>410</v>
      </c>
      <c r="C31" s="721" t="s">
        <v>923</v>
      </c>
      <c r="D31" s="434"/>
      <c r="E31" s="434"/>
      <c r="F31" s="434"/>
      <c r="G31" s="434"/>
      <c r="H31" s="434"/>
      <c r="I31" s="434"/>
      <c r="J31" s="434"/>
      <c r="K31" s="434"/>
      <c r="L31" s="434"/>
      <c r="M31" s="434"/>
      <c r="N31" s="467"/>
      <c r="P31" s="292"/>
      <c r="Q31" s="467"/>
      <c r="R31" s="525" t="s">
        <v>411</v>
      </c>
      <c r="S31" s="434" t="s">
        <v>927</v>
      </c>
      <c r="T31" s="434"/>
      <c r="U31" s="434"/>
      <c r="V31" s="467"/>
      <c r="W31" s="467"/>
      <c r="X31" s="467"/>
      <c r="Y31" s="467"/>
      <c r="Z31" s="467"/>
      <c r="AA31" s="467"/>
      <c r="AB31" s="467"/>
      <c r="AC31" s="467"/>
    </row>
    <row r="32" spans="1:29">
      <c r="A32" s="467"/>
      <c r="B32" s="525" t="s">
        <v>410</v>
      </c>
      <c r="C32" s="721" t="s">
        <v>924</v>
      </c>
      <c r="D32" s="434"/>
      <c r="E32" s="434"/>
      <c r="F32" s="434"/>
      <c r="G32" s="434"/>
      <c r="H32" s="434"/>
      <c r="I32" s="434"/>
      <c r="J32" s="434"/>
      <c r="K32" s="434"/>
      <c r="L32" s="434"/>
      <c r="M32" s="434"/>
      <c r="N32" s="467"/>
      <c r="P32" s="292"/>
      <c r="Q32" s="467"/>
      <c r="R32" s="525" t="s">
        <v>411</v>
      </c>
      <c r="S32" s="434" t="s">
        <v>928</v>
      </c>
      <c r="T32" s="434"/>
      <c r="U32" s="434"/>
      <c r="V32" s="467"/>
      <c r="W32" s="467"/>
      <c r="X32" s="467"/>
      <c r="Y32" s="467"/>
      <c r="Z32" s="467"/>
      <c r="AA32" s="467"/>
      <c r="AB32" s="467"/>
      <c r="AC32" s="467"/>
    </row>
    <row r="33" spans="1:29">
      <c r="A33" s="467"/>
      <c r="B33" s="525" t="s">
        <v>410</v>
      </c>
      <c r="C33" s="721" t="s">
        <v>925</v>
      </c>
      <c r="D33" s="434"/>
      <c r="E33" s="434"/>
      <c r="F33" s="434"/>
      <c r="G33" s="434"/>
      <c r="H33" s="434"/>
      <c r="I33" s="434"/>
      <c r="J33" s="434"/>
      <c r="K33" s="434"/>
      <c r="L33" s="434"/>
      <c r="M33" s="434"/>
      <c r="N33" s="467"/>
      <c r="P33" s="292"/>
      <c r="Q33" s="491" t="s">
        <v>71</v>
      </c>
      <c r="R33" s="467"/>
      <c r="S33" s="467"/>
      <c r="T33" s="467"/>
      <c r="U33" s="434"/>
      <c r="V33" s="468"/>
      <c r="W33" s="467"/>
      <c r="X33" s="467"/>
      <c r="Y33" s="467"/>
      <c r="Z33" s="467"/>
      <c r="AA33" s="467"/>
      <c r="AB33" s="467"/>
      <c r="AC33" s="467"/>
    </row>
    <row r="34" spans="1:29">
      <c r="A34" s="467"/>
      <c r="B34" s="525" t="s">
        <v>411</v>
      </c>
      <c r="C34" s="434" t="s">
        <v>926</v>
      </c>
      <c r="D34" s="434"/>
      <c r="E34" s="434"/>
      <c r="F34" s="434"/>
      <c r="G34" s="434"/>
      <c r="H34" s="434"/>
      <c r="I34" s="434"/>
      <c r="J34" s="434"/>
      <c r="K34" s="434"/>
      <c r="L34" s="434"/>
      <c r="M34" s="434"/>
      <c r="N34" s="467"/>
      <c r="P34" s="292"/>
      <c r="Q34" s="467"/>
      <c r="R34" s="479" t="s">
        <v>410</v>
      </c>
      <c r="S34" s="467" t="s">
        <v>930</v>
      </c>
      <c r="T34" s="392"/>
      <c r="U34" s="392"/>
      <c r="V34" s="468"/>
      <c r="W34" s="467"/>
      <c r="X34" s="467"/>
      <c r="Y34" s="467"/>
      <c r="Z34" s="467"/>
      <c r="AA34" s="467"/>
      <c r="AB34" s="467"/>
      <c r="AC34" s="467"/>
    </row>
    <row r="35" spans="1:29">
      <c r="A35" s="467"/>
      <c r="B35" s="525" t="s">
        <v>411</v>
      </c>
      <c r="C35" s="434" t="s">
        <v>927</v>
      </c>
      <c r="D35" s="434"/>
      <c r="E35" s="434"/>
      <c r="F35" s="434"/>
      <c r="G35" s="434"/>
      <c r="H35" s="434"/>
      <c r="I35" s="434"/>
      <c r="J35" s="434"/>
      <c r="K35" s="434"/>
      <c r="L35" s="434"/>
      <c r="M35" s="434"/>
      <c r="N35" s="467"/>
      <c r="P35" s="292"/>
      <c r="Q35" s="467"/>
      <c r="R35" s="479" t="s">
        <v>410</v>
      </c>
      <c r="S35" s="467" t="s">
        <v>931</v>
      </c>
      <c r="T35" s="467"/>
      <c r="U35" s="468"/>
      <c r="V35" s="468"/>
      <c r="W35" s="467"/>
      <c r="X35" s="467"/>
      <c r="Y35" s="467"/>
      <c r="Z35" s="467"/>
      <c r="AA35" s="467"/>
      <c r="AB35" s="467"/>
      <c r="AC35" s="467"/>
    </row>
    <row r="36" spans="1:29">
      <c r="A36" s="467"/>
      <c r="B36" s="525" t="s">
        <v>411</v>
      </c>
      <c r="C36" s="434" t="s">
        <v>928</v>
      </c>
      <c r="D36" s="434"/>
      <c r="E36" s="434"/>
      <c r="F36" s="434"/>
      <c r="G36" s="434"/>
      <c r="H36" s="434"/>
      <c r="I36" s="434"/>
      <c r="J36" s="434"/>
      <c r="K36" s="434"/>
      <c r="L36" s="434"/>
      <c r="M36" s="434"/>
      <c r="N36" s="467"/>
      <c r="P36" s="292"/>
      <c r="Q36" s="467"/>
      <c r="R36" s="479" t="s">
        <v>410</v>
      </c>
      <c r="S36" s="467" t="s">
        <v>932</v>
      </c>
      <c r="T36" s="467"/>
      <c r="U36" s="467"/>
      <c r="V36" s="468"/>
      <c r="W36" s="467"/>
      <c r="X36" s="467"/>
      <c r="Y36" s="467"/>
      <c r="Z36" s="467"/>
      <c r="AA36" s="467"/>
      <c r="AB36" s="467"/>
      <c r="AC36" s="467"/>
    </row>
    <row r="37" spans="1:29">
      <c r="A37" s="467"/>
      <c r="B37" s="525" t="s">
        <v>130</v>
      </c>
      <c r="C37" s="392" t="s">
        <v>929</v>
      </c>
      <c r="D37" s="392"/>
      <c r="E37" s="392"/>
      <c r="F37" s="392"/>
      <c r="G37" s="392"/>
      <c r="H37" s="392"/>
      <c r="I37" s="434"/>
      <c r="J37" s="434"/>
      <c r="K37" s="434"/>
      <c r="L37" s="434"/>
      <c r="M37" s="434"/>
      <c r="N37" s="467"/>
      <c r="P37" s="292"/>
      <c r="Q37" s="467"/>
      <c r="R37" s="479" t="s">
        <v>411</v>
      </c>
      <c r="S37" s="467" t="s">
        <v>933</v>
      </c>
      <c r="T37" s="467"/>
      <c r="U37" s="467"/>
      <c r="V37" s="468"/>
      <c r="W37" s="467"/>
      <c r="X37" s="467"/>
      <c r="Y37" s="467"/>
      <c r="Z37" s="467"/>
      <c r="AA37" s="467"/>
      <c r="AB37" s="467"/>
      <c r="AC37" s="467"/>
    </row>
    <row r="38" spans="1:29" ht="16" thickBot="1">
      <c r="A38" s="467"/>
      <c r="B38" s="467"/>
      <c r="C38" s="467"/>
      <c r="D38" s="467"/>
      <c r="E38" s="467"/>
      <c r="F38" s="467"/>
      <c r="G38" s="467"/>
      <c r="H38" s="467"/>
      <c r="I38" s="392"/>
      <c r="J38" s="392"/>
      <c r="K38" s="392"/>
      <c r="L38" s="392"/>
      <c r="M38" s="392"/>
      <c r="N38" s="467"/>
      <c r="P38" s="292"/>
      <c r="Q38" s="467"/>
      <c r="R38" s="479" t="s">
        <v>411</v>
      </c>
      <c r="S38" s="467" t="s">
        <v>934</v>
      </c>
      <c r="T38" s="467"/>
      <c r="U38" s="467"/>
      <c r="V38" s="468"/>
      <c r="W38" s="467"/>
      <c r="X38" s="467"/>
      <c r="Y38" s="467"/>
      <c r="Z38" s="467"/>
      <c r="AA38" s="467"/>
      <c r="AB38" s="467"/>
      <c r="AC38" s="467"/>
    </row>
    <row r="39" spans="1:29" ht="17" thickBot="1">
      <c r="A39" s="493" t="s">
        <v>129</v>
      </c>
      <c r="B39" s="473" t="s">
        <v>71</v>
      </c>
      <c r="C39" s="474"/>
      <c r="D39" s="474"/>
      <c r="E39" s="474"/>
      <c r="F39" s="474"/>
      <c r="G39" s="474"/>
      <c r="H39" s="474"/>
      <c r="I39" s="474"/>
      <c r="J39" s="474"/>
      <c r="K39" s="474"/>
      <c r="L39" s="474"/>
      <c r="M39" s="475"/>
      <c r="N39" s="478">
        <v>2</v>
      </c>
      <c r="O39" s="492" t="s">
        <v>407</v>
      </c>
      <c r="P39" s="292"/>
      <c r="Q39" s="491" t="s">
        <v>936</v>
      </c>
      <c r="R39" s="467"/>
      <c r="S39" s="467"/>
      <c r="T39" s="467"/>
      <c r="U39" s="467"/>
      <c r="V39" s="468"/>
      <c r="W39" s="467"/>
      <c r="X39" s="467"/>
      <c r="Y39" s="467"/>
      <c r="Z39" s="467"/>
      <c r="AA39" s="467"/>
      <c r="AB39" s="467"/>
      <c r="AC39" s="467"/>
    </row>
    <row r="40" spans="1:29">
      <c r="A40" s="467"/>
      <c r="B40" s="479" t="s">
        <v>410</v>
      </c>
      <c r="C40" s="715" t="s">
        <v>930</v>
      </c>
      <c r="D40" s="467"/>
      <c r="E40" s="467"/>
      <c r="F40" s="467"/>
      <c r="G40" s="467"/>
      <c r="H40" s="467"/>
      <c r="I40" s="467"/>
      <c r="J40" s="467"/>
      <c r="K40" s="467"/>
      <c r="L40" s="467"/>
      <c r="M40" s="467"/>
      <c r="N40" s="467"/>
      <c r="P40" s="292"/>
      <c r="Q40" s="467"/>
      <c r="R40" s="479" t="s">
        <v>410</v>
      </c>
      <c r="S40" s="467" t="s">
        <v>937</v>
      </c>
      <c r="T40" s="467"/>
      <c r="U40" s="467"/>
      <c r="V40" s="468"/>
      <c r="W40" s="467"/>
      <c r="X40" s="467"/>
      <c r="Y40" s="467"/>
      <c r="Z40" s="467"/>
      <c r="AA40" s="467"/>
      <c r="AB40" s="467"/>
      <c r="AC40" s="467"/>
    </row>
    <row r="41" spans="1:29">
      <c r="A41" s="467"/>
      <c r="B41" s="479" t="s">
        <v>410</v>
      </c>
      <c r="C41" s="715" t="s">
        <v>931</v>
      </c>
      <c r="D41" s="467"/>
      <c r="E41" s="467"/>
      <c r="F41" s="467"/>
      <c r="G41" s="467"/>
      <c r="H41" s="467"/>
      <c r="I41" s="467"/>
      <c r="J41" s="467"/>
      <c r="K41" s="467"/>
      <c r="L41" s="467"/>
      <c r="M41" s="467"/>
      <c r="N41" s="467"/>
      <c r="P41" s="604"/>
      <c r="Q41" s="467"/>
      <c r="R41" s="479" t="s">
        <v>410</v>
      </c>
      <c r="S41" s="467" t="s">
        <v>938</v>
      </c>
      <c r="T41" s="467"/>
      <c r="U41" s="467"/>
      <c r="V41" s="468"/>
      <c r="W41" s="467"/>
      <c r="X41" s="467"/>
      <c r="Y41" s="467"/>
      <c r="Z41" s="467"/>
      <c r="AA41" s="467"/>
      <c r="AB41" s="467"/>
      <c r="AC41" s="467"/>
    </row>
    <row r="42" spans="1:29" ht="15" customHeight="1">
      <c r="A42" s="467"/>
      <c r="B42" s="479" t="s">
        <v>410</v>
      </c>
      <c r="C42" s="715" t="s">
        <v>932</v>
      </c>
      <c r="D42" s="467"/>
      <c r="E42" s="467"/>
      <c r="F42" s="467"/>
      <c r="G42" s="467"/>
      <c r="H42" s="467"/>
      <c r="I42" s="467"/>
      <c r="J42" s="467"/>
      <c r="K42" s="467"/>
      <c r="L42" s="467"/>
      <c r="M42" s="467"/>
      <c r="N42" s="467"/>
      <c r="P42" s="605"/>
      <c r="Q42" s="467"/>
      <c r="R42" s="479" t="s">
        <v>410</v>
      </c>
      <c r="S42" s="467" t="s">
        <v>939</v>
      </c>
      <c r="T42" s="467"/>
      <c r="U42" s="468"/>
      <c r="V42" s="468"/>
      <c r="W42" s="467"/>
      <c r="X42" s="467"/>
      <c r="Y42" s="467"/>
      <c r="Z42" s="467"/>
      <c r="AA42" s="467"/>
      <c r="AB42" s="467"/>
      <c r="AC42" s="467"/>
    </row>
    <row r="43" spans="1:29">
      <c r="A43" s="467"/>
      <c r="B43" s="479" t="s">
        <v>411</v>
      </c>
      <c r="C43" s="467" t="s">
        <v>933</v>
      </c>
      <c r="D43" s="467"/>
      <c r="E43" s="467"/>
      <c r="F43" s="467"/>
      <c r="G43" s="467"/>
      <c r="H43" s="467"/>
      <c r="I43" s="467"/>
      <c r="J43" s="467"/>
      <c r="K43" s="467"/>
      <c r="L43" s="467"/>
      <c r="M43" s="467"/>
      <c r="N43" s="467"/>
      <c r="P43" s="292"/>
      <c r="Q43" s="467"/>
      <c r="R43" s="479" t="s">
        <v>410</v>
      </c>
      <c r="S43" s="467" t="s">
        <v>940</v>
      </c>
      <c r="T43" s="467"/>
      <c r="U43" s="467"/>
      <c r="V43" s="468"/>
      <c r="W43" s="467"/>
      <c r="X43" s="467"/>
      <c r="Y43" s="467"/>
      <c r="Z43" s="467"/>
      <c r="AA43" s="467"/>
      <c r="AB43" s="467"/>
      <c r="AC43" s="467"/>
    </row>
    <row r="44" spans="1:29" ht="15" customHeight="1">
      <c r="A44" s="467"/>
      <c r="B44" s="479" t="s">
        <v>411</v>
      </c>
      <c r="C44" s="467" t="s">
        <v>934</v>
      </c>
      <c r="D44" s="467"/>
      <c r="E44" s="467"/>
      <c r="F44" s="467"/>
      <c r="G44" s="467"/>
      <c r="H44" s="467"/>
      <c r="I44" s="467"/>
      <c r="J44" s="467"/>
      <c r="K44" s="467"/>
      <c r="L44" s="467"/>
      <c r="M44" s="467"/>
      <c r="N44" s="467"/>
      <c r="P44" s="292"/>
      <c r="Q44" s="467"/>
      <c r="R44" s="479" t="s">
        <v>411</v>
      </c>
      <c r="S44" s="467" t="s">
        <v>941</v>
      </c>
      <c r="T44" s="467"/>
      <c r="U44" s="467"/>
      <c r="V44" s="468"/>
      <c r="W44" s="467"/>
      <c r="X44" s="467"/>
      <c r="Y44" s="467"/>
      <c r="Z44" s="467"/>
      <c r="AA44" s="467"/>
      <c r="AB44" s="467"/>
      <c r="AC44" s="467"/>
    </row>
    <row r="45" spans="1:29">
      <c r="A45" s="467"/>
      <c r="B45" s="479" t="s">
        <v>130</v>
      </c>
      <c r="C45" s="479" t="s">
        <v>935</v>
      </c>
      <c r="D45" s="467"/>
      <c r="E45" s="467"/>
      <c r="F45" s="467"/>
      <c r="G45" s="467"/>
      <c r="H45" s="467"/>
      <c r="I45" s="467"/>
      <c r="J45" s="467"/>
      <c r="K45" s="467"/>
      <c r="L45" s="467"/>
      <c r="M45" s="467"/>
      <c r="N45" s="467"/>
      <c r="P45" s="292"/>
      <c r="Q45" s="467"/>
      <c r="R45" s="479" t="s">
        <v>411</v>
      </c>
      <c r="S45" s="467" t="s">
        <v>942</v>
      </c>
      <c r="T45" s="467"/>
      <c r="U45" s="467"/>
      <c r="V45" s="468"/>
      <c r="W45" s="467"/>
      <c r="X45" s="467"/>
      <c r="Y45" s="467"/>
      <c r="Z45" s="467"/>
      <c r="AA45" s="467"/>
      <c r="AB45" s="467"/>
      <c r="AC45" s="467"/>
    </row>
    <row r="46" spans="1:29">
      <c r="A46" s="467"/>
      <c r="B46" s="467"/>
      <c r="C46" s="467"/>
      <c r="D46" s="467"/>
      <c r="E46" s="467"/>
      <c r="F46" s="467"/>
      <c r="G46" s="467"/>
      <c r="H46" s="467"/>
      <c r="I46" s="467"/>
      <c r="J46" s="467"/>
      <c r="K46" s="467"/>
      <c r="L46" s="467"/>
      <c r="M46" s="467"/>
      <c r="N46" s="467"/>
      <c r="P46" s="292"/>
      <c r="Q46" s="467"/>
      <c r="R46" s="467"/>
      <c r="S46" s="467"/>
      <c r="T46" s="467"/>
      <c r="U46" s="467"/>
      <c r="V46" s="468"/>
      <c r="W46" s="467"/>
      <c r="X46" s="467"/>
      <c r="Y46" s="467"/>
      <c r="Z46" s="467"/>
      <c r="AA46" s="467"/>
      <c r="AB46" s="467"/>
      <c r="AC46" s="467"/>
    </row>
    <row r="47" spans="1:29" ht="16" thickBot="1">
      <c r="A47" s="467"/>
      <c r="B47" s="467"/>
      <c r="C47" s="467"/>
      <c r="D47" s="467"/>
      <c r="E47" s="467"/>
      <c r="F47" s="467"/>
      <c r="G47" s="467"/>
      <c r="H47" s="467"/>
      <c r="I47" s="467"/>
      <c r="J47" s="467"/>
      <c r="K47" s="467"/>
      <c r="L47" s="467"/>
      <c r="M47" s="467"/>
      <c r="N47" s="467"/>
      <c r="P47" s="292"/>
      <c r="Q47" s="499" t="s">
        <v>186</v>
      </c>
      <c r="R47" s="467"/>
      <c r="S47" s="467"/>
      <c r="T47" s="467"/>
      <c r="U47" s="467"/>
      <c r="V47" s="468"/>
      <c r="W47" s="467"/>
      <c r="X47" s="467"/>
      <c r="Y47" s="467"/>
      <c r="Z47" s="467"/>
      <c r="AA47" s="467"/>
      <c r="AB47" s="467"/>
      <c r="AC47" s="467"/>
    </row>
    <row r="48" spans="1:29" ht="17" thickBot="1">
      <c r="A48" s="493" t="s">
        <v>140</v>
      </c>
      <c r="B48" s="473" t="s">
        <v>936</v>
      </c>
      <c r="C48" s="474"/>
      <c r="D48" s="474"/>
      <c r="E48" s="474"/>
      <c r="F48" s="474"/>
      <c r="G48" s="474"/>
      <c r="H48" s="474"/>
      <c r="I48" s="474"/>
      <c r="J48" s="474"/>
      <c r="K48" s="474"/>
      <c r="L48" s="474"/>
      <c r="M48" s="475"/>
      <c r="N48" s="478">
        <v>2</v>
      </c>
      <c r="O48" s="492" t="s">
        <v>407</v>
      </c>
      <c r="P48" s="292"/>
      <c r="Q48" s="471" t="s">
        <v>944</v>
      </c>
      <c r="R48" s="468"/>
      <c r="S48" s="467"/>
      <c r="T48" s="467"/>
      <c r="U48" s="467"/>
      <c r="V48" s="468"/>
      <c r="W48" s="467"/>
      <c r="X48" s="467"/>
      <c r="Y48" s="467"/>
      <c r="Z48" s="467"/>
      <c r="AA48" s="467"/>
      <c r="AB48" s="467"/>
      <c r="AC48" s="467"/>
    </row>
    <row r="49" spans="1:29">
      <c r="A49" s="467"/>
      <c r="B49" s="479" t="s">
        <v>410</v>
      </c>
      <c r="C49" s="715" t="s">
        <v>937</v>
      </c>
      <c r="D49" s="467"/>
      <c r="E49" s="467"/>
      <c r="F49" s="467"/>
      <c r="G49" s="467"/>
      <c r="H49" s="467"/>
      <c r="I49" s="467"/>
      <c r="J49" s="467"/>
      <c r="K49" s="467"/>
      <c r="L49" s="467"/>
      <c r="M49" s="467"/>
      <c r="N49" s="467"/>
      <c r="P49" s="292"/>
      <c r="Q49" s="468"/>
      <c r="R49" s="266" t="s">
        <v>945</v>
      </c>
      <c r="S49" s="467"/>
      <c r="T49" s="467"/>
      <c r="U49" s="467"/>
      <c r="V49" s="468"/>
      <c r="W49" s="467"/>
      <c r="X49" s="467"/>
      <c r="Y49" s="467"/>
      <c r="Z49" s="467"/>
      <c r="AA49" s="467"/>
      <c r="AB49" s="467"/>
      <c r="AC49" s="467"/>
    </row>
    <row r="50" spans="1:29">
      <c r="A50" s="467"/>
      <c r="B50" s="479" t="s">
        <v>410</v>
      </c>
      <c r="C50" s="715" t="s">
        <v>938</v>
      </c>
      <c r="D50" s="467"/>
      <c r="E50" s="467"/>
      <c r="F50" s="467"/>
      <c r="G50" s="467"/>
      <c r="H50" s="467"/>
      <c r="I50" s="467"/>
      <c r="J50" s="467"/>
      <c r="K50" s="467"/>
      <c r="L50" s="467"/>
      <c r="M50" s="467"/>
      <c r="N50" s="467"/>
      <c r="P50" s="292"/>
      <c r="Q50" s="468"/>
      <c r="R50" s="467" t="s">
        <v>946</v>
      </c>
      <c r="S50" s="467"/>
      <c r="T50" s="467"/>
      <c r="U50" s="467"/>
      <c r="V50" s="468"/>
      <c r="W50" s="467"/>
      <c r="X50" s="467"/>
      <c r="Y50" s="467"/>
      <c r="Z50" s="467"/>
      <c r="AA50" s="467"/>
      <c r="AB50" s="467"/>
      <c r="AC50" s="467"/>
    </row>
    <row r="51" spans="1:29">
      <c r="A51" s="467"/>
      <c r="B51" s="479" t="s">
        <v>410</v>
      </c>
      <c r="C51" s="715" t="s">
        <v>939</v>
      </c>
      <c r="D51" s="467"/>
      <c r="E51" s="467"/>
      <c r="F51" s="467"/>
      <c r="G51" s="467"/>
      <c r="H51" s="467"/>
      <c r="I51" s="467"/>
      <c r="J51" s="467"/>
      <c r="K51" s="467"/>
      <c r="L51" s="467"/>
      <c r="M51" s="467"/>
      <c r="N51" s="467"/>
      <c r="P51" s="292"/>
      <c r="Q51" s="471"/>
      <c r="R51" s="467" t="s">
        <v>947</v>
      </c>
      <c r="S51" s="467"/>
      <c r="T51" s="467"/>
      <c r="U51" s="467"/>
      <c r="V51" s="468"/>
      <c r="W51" s="467"/>
      <c r="X51" s="467"/>
      <c r="Y51" s="467"/>
      <c r="Z51" s="467"/>
      <c r="AA51" s="467"/>
      <c r="AB51" s="467"/>
      <c r="AC51" s="467"/>
    </row>
    <row r="52" spans="1:29">
      <c r="A52" s="467"/>
      <c r="B52" s="479" t="s">
        <v>410</v>
      </c>
      <c r="C52" s="715" t="s">
        <v>940</v>
      </c>
      <c r="D52" s="467"/>
      <c r="E52" s="467"/>
      <c r="F52" s="467"/>
      <c r="G52" s="467"/>
      <c r="H52" s="467"/>
      <c r="I52" s="467"/>
      <c r="J52" s="467"/>
      <c r="K52" s="467"/>
      <c r="L52" s="467"/>
      <c r="M52" s="467"/>
      <c r="N52" s="467"/>
      <c r="P52" s="292"/>
      <c r="Q52" s="469"/>
      <c r="R52" s="467" t="s">
        <v>948</v>
      </c>
      <c r="S52" s="467"/>
      <c r="T52" s="467"/>
      <c r="U52" s="467"/>
      <c r="V52" s="468"/>
      <c r="W52" s="467"/>
      <c r="X52" s="467"/>
      <c r="Y52" s="467"/>
      <c r="Z52" s="467"/>
      <c r="AA52" s="467"/>
      <c r="AB52" s="467"/>
      <c r="AC52" s="467"/>
    </row>
    <row r="53" spans="1:29">
      <c r="A53" s="467"/>
      <c r="B53" s="479" t="s">
        <v>411</v>
      </c>
      <c r="C53" s="467" t="s">
        <v>941</v>
      </c>
      <c r="D53" s="467"/>
      <c r="E53" s="467"/>
      <c r="F53" s="467"/>
      <c r="G53" s="467"/>
      <c r="H53" s="467"/>
      <c r="I53" s="467"/>
      <c r="J53" s="467"/>
      <c r="K53" s="467"/>
      <c r="L53" s="467"/>
      <c r="M53" s="467"/>
      <c r="N53" s="467"/>
      <c r="P53" s="292"/>
      <c r="Q53" s="515"/>
      <c r="R53" s="467" t="s">
        <v>949</v>
      </c>
      <c r="S53" s="467"/>
      <c r="T53" s="467"/>
      <c r="U53" s="467"/>
      <c r="V53" s="468"/>
      <c r="W53" s="467"/>
      <c r="X53" s="467"/>
      <c r="Y53" s="467"/>
      <c r="Z53" s="467"/>
      <c r="AA53" s="467"/>
      <c r="AB53" s="467"/>
      <c r="AC53" s="467"/>
    </row>
    <row r="54" spans="1:29">
      <c r="A54" s="467"/>
      <c r="B54" s="479" t="s">
        <v>411</v>
      </c>
      <c r="C54" s="467" t="s">
        <v>942</v>
      </c>
      <c r="D54" s="467"/>
      <c r="E54" s="467"/>
      <c r="F54" s="467"/>
      <c r="G54" s="467"/>
      <c r="H54" s="467"/>
      <c r="I54" s="467"/>
      <c r="J54" s="467"/>
      <c r="K54" s="467"/>
      <c r="L54" s="467"/>
      <c r="M54" s="467"/>
      <c r="N54" s="467"/>
      <c r="P54" s="292"/>
      <c r="Q54" s="467"/>
      <c r="R54" s="467" t="s">
        <v>950</v>
      </c>
      <c r="S54" s="468"/>
      <c r="T54" s="468"/>
      <c r="U54" s="468"/>
      <c r="V54" s="468"/>
      <c r="W54" s="467"/>
      <c r="X54" s="467"/>
      <c r="Y54" s="467"/>
      <c r="Z54" s="467"/>
      <c r="AA54" s="467"/>
      <c r="AB54" s="467"/>
      <c r="AC54" s="467"/>
    </row>
    <row r="55" spans="1:29">
      <c r="A55" s="467"/>
      <c r="B55" s="479" t="s">
        <v>130</v>
      </c>
      <c r="C55" s="479" t="s">
        <v>943</v>
      </c>
      <c r="D55" s="467"/>
      <c r="E55" s="467"/>
      <c r="F55" s="467"/>
      <c r="G55" s="467"/>
      <c r="H55" s="467"/>
      <c r="I55" s="467"/>
      <c r="J55" s="467"/>
      <c r="K55" s="467"/>
      <c r="L55" s="467"/>
      <c r="M55" s="467"/>
      <c r="N55" s="467"/>
      <c r="P55" s="292"/>
      <c r="Q55" s="515" t="s">
        <v>951</v>
      </c>
      <c r="R55" s="468"/>
      <c r="S55" s="468"/>
      <c r="T55" s="468"/>
      <c r="U55" s="468"/>
      <c r="V55" s="468"/>
      <c r="W55" s="467"/>
      <c r="X55" s="467"/>
      <c r="Y55" s="467"/>
      <c r="Z55" s="467"/>
      <c r="AA55" s="467"/>
      <c r="AB55" s="467"/>
      <c r="AC55" s="467"/>
    </row>
    <row r="56" spans="1:29">
      <c r="A56" s="467"/>
      <c r="B56" s="467"/>
      <c r="C56" s="467"/>
      <c r="D56" s="467"/>
      <c r="E56" s="467"/>
      <c r="F56" s="467"/>
      <c r="G56" s="467"/>
      <c r="H56" s="467"/>
      <c r="I56" s="467"/>
      <c r="J56" s="467"/>
      <c r="K56" s="467"/>
      <c r="L56" s="467"/>
      <c r="M56" s="467"/>
      <c r="N56" s="467"/>
      <c r="P56" s="292"/>
      <c r="Q56" s="481"/>
      <c r="R56" s="469" t="s">
        <v>952</v>
      </c>
      <c r="S56" s="468"/>
      <c r="T56" s="468"/>
      <c r="U56" s="468"/>
      <c r="V56" s="468"/>
      <c r="W56" s="467"/>
      <c r="X56" s="467"/>
      <c r="Y56" s="467"/>
      <c r="Z56" s="467"/>
      <c r="AA56" s="467"/>
      <c r="AB56" s="467"/>
      <c r="AC56" s="467"/>
    </row>
    <row r="57" spans="1:29">
      <c r="A57" s="467"/>
      <c r="B57" s="467"/>
      <c r="C57" s="467"/>
      <c r="D57" s="467"/>
      <c r="E57" s="467"/>
      <c r="F57" s="467"/>
      <c r="G57" s="467"/>
      <c r="H57" s="467"/>
      <c r="I57" s="467"/>
      <c r="J57" s="467"/>
      <c r="K57" s="467"/>
      <c r="L57" s="467"/>
      <c r="M57" s="467"/>
      <c r="N57" s="467"/>
      <c r="P57" s="292"/>
      <c r="Q57" s="467"/>
      <c r="R57" s="495" t="s">
        <v>953</v>
      </c>
      <c r="S57" s="468"/>
      <c r="T57" s="468"/>
      <c r="U57" s="468"/>
      <c r="V57" s="468"/>
      <c r="W57" s="467"/>
      <c r="X57" s="467"/>
      <c r="Y57" s="467"/>
      <c r="Z57" s="467"/>
      <c r="AA57" s="467"/>
      <c r="AB57" s="467"/>
      <c r="AC57" s="467"/>
    </row>
    <row r="58" spans="1:29">
      <c r="A58" s="467"/>
      <c r="B58" s="467"/>
      <c r="C58" s="467"/>
      <c r="D58" s="467"/>
      <c r="E58" s="467"/>
      <c r="F58" s="467"/>
      <c r="G58" s="467"/>
      <c r="H58" s="467"/>
      <c r="I58" s="467"/>
      <c r="J58" s="467"/>
      <c r="K58" s="467"/>
      <c r="L58" s="467"/>
      <c r="M58" s="467"/>
      <c r="N58" s="467"/>
      <c r="P58" s="292"/>
      <c r="Q58" s="497" t="s">
        <v>901</v>
      </c>
      <c r="R58" s="516"/>
      <c r="S58" s="468"/>
      <c r="T58" s="468"/>
      <c r="U58" s="468"/>
      <c r="V58" s="468"/>
      <c r="W58" s="467"/>
      <c r="X58" s="467"/>
      <c r="Y58" s="467"/>
      <c r="Z58" s="467"/>
      <c r="AA58" s="467"/>
      <c r="AB58" s="467"/>
      <c r="AC58" s="467"/>
    </row>
    <row r="59" spans="1:29">
      <c r="A59" s="467"/>
      <c r="B59" s="467"/>
      <c r="C59" s="467"/>
      <c r="D59" s="467"/>
      <c r="E59" s="467"/>
      <c r="F59" s="467"/>
      <c r="G59" s="467"/>
      <c r="H59" s="467"/>
      <c r="I59" s="467"/>
      <c r="J59" s="467"/>
      <c r="K59" s="467"/>
      <c r="L59" s="467"/>
      <c r="M59" s="467"/>
      <c r="N59" s="467"/>
      <c r="P59" s="292"/>
      <c r="Q59" s="488"/>
      <c r="R59" s="490" t="s">
        <v>954</v>
      </c>
      <c r="S59" s="468"/>
      <c r="T59" s="468"/>
      <c r="U59" s="481"/>
      <c r="V59" s="481"/>
      <c r="W59" s="467"/>
      <c r="X59" s="467"/>
      <c r="Y59" s="467"/>
      <c r="Z59" s="467"/>
      <c r="AA59" s="467"/>
      <c r="AB59" s="467"/>
      <c r="AC59" s="467"/>
    </row>
    <row r="60" spans="1:29">
      <c r="P60" s="292"/>
      <c r="Q60" s="488"/>
      <c r="R60" s="511" t="s">
        <v>955</v>
      </c>
      <c r="S60" s="468"/>
      <c r="T60" s="468"/>
      <c r="U60" s="467"/>
      <c r="V60" s="467"/>
      <c r="W60" s="467"/>
      <c r="X60" s="467"/>
      <c r="Y60" s="467"/>
      <c r="Z60" s="467"/>
      <c r="AA60" s="467"/>
      <c r="AB60" s="467"/>
      <c r="AC60" s="467"/>
    </row>
    <row r="61" spans="1:29">
      <c r="P61" s="292"/>
      <c r="Q61" s="488"/>
      <c r="R61" s="490"/>
      <c r="S61" s="468"/>
      <c r="T61" s="468"/>
      <c r="U61" s="467"/>
      <c r="V61" s="467"/>
      <c r="W61" s="467"/>
      <c r="X61" s="467"/>
      <c r="Y61" s="467"/>
      <c r="Z61" s="467"/>
      <c r="AA61" s="467"/>
      <c r="AB61" s="467"/>
      <c r="AC61" s="467"/>
    </row>
    <row r="62" spans="1:29">
      <c r="P62" s="292"/>
      <c r="Q62" s="481"/>
      <c r="R62" s="468"/>
      <c r="S62" s="481"/>
      <c r="T62" s="468"/>
      <c r="U62" s="467"/>
      <c r="V62" s="467"/>
      <c r="W62" s="467"/>
      <c r="X62" s="467"/>
      <c r="Y62" s="467"/>
      <c r="Z62" s="467"/>
      <c r="AA62" s="467"/>
      <c r="AB62" s="467"/>
      <c r="AC62" s="467"/>
    </row>
    <row r="63" spans="1:29">
      <c r="P63" s="292"/>
      <c r="Q63" s="497" t="s">
        <v>535</v>
      </c>
      <c r="R63" s="468"/>
      <c r="S63" s="468"/>
      <c r="T63" s="468"/>
      <c r="U63" s="467"/>
      <c r="V63" s="467"/>
      <c r="W63" s="467"/>
      <c r="X63" s="467"/>
      <c r="Y63" s="467"/>
      <c r="Z63" s="467"/>
      <c r="AA63" s="467"/>
      <c r="AB63" s="467"/>
      <c r="AC63" s="467"/>
    </row>
    <row r="64" spans="1:29">
      <c r="P64" s="292"/>
      <c r="Q64" s="392" t="s">
        <v>956</v>
      </c>
      <c r="R64" s="468"/>
      <c r="S64" s="489"/>
      <c r="T64" s="468"/>
      <c r="U64" s="467"/>
      <c r="V64" s="467"/>
      <c r="W64" s="467"/>
      <c r="X64" s="467"/>
      <c r="Y64" s="467"/>
      <c r="Z64" s="467"/>
      <c r="AA64" s="467"/>
      <c r="AB64" s="467"/>
      <c r="AC64" s="467"/>
    </row>
    <row r="65" spans="16:29">
      <c r="P65" s="292"/>
      <c r="Q65" s="392" t="s">
        <v>920</v>
      </c>
      <c r="R65" s="467"/>
      <c r="S65" s="489"/>
      <c r="T65" s="468"/>
      <c r="U65" s="467"/>
      <c r="V65" s="467"/>
      <c r="W65" s="467"/>
      <c r="X65" s="467"/>
      <c r="Y65" s="467"/>
      <c r="Z65" s="467"/>
      <c r="AA65" s="467"/>
      <c r="AB65" s="467"/>
      <c r="AC65" s="467"/>
    </row>
    <row r="66" spans="16:29">
      <c r="P66" s="292"/>
      <c r="Q66" s="392" t="s">
        <v>929</v>
      </c>
      <c r="R66" s="467"/>
      <c r="S66" s="489"/>
      <c r="T66" s="468"/>
      <c r="U66" s="467"/>
      <c r="V66" s="467"/>
      <c r="W66" s="467"/>
      <c r="X66" s="467"/>
      <c r="Y66" s="467"/>
      <c r="Z66" s="467"/>
      <c r="AA66" s="467"/>
      <c r="AB66" s="467"/>
      <c r="AC66" s="467"/>
    </row>
    <row r="67" spans="16:29">
      <c r="P67" s="292"/>
      <c r="Q67" s="479"/>
      <c r="R67" s="467"/>
      <c r="S67" s="468"/>
      <c r="T67" s="468"/>
      <c r="U67" s="467"/>
      <c r="V67" s="467"/>
      <c r="W67" s="467"/>
      <c r="X67" s="467"/>
      <c r="Y67" s="467"/>
      <c r="Z67" s="467"/>
      <c r="AA67" s="467"/>
      <c r="AB67" s="467"/>
      <c r="AC67" s="467"/>
    </row>
    <row r="68" spans="16:29">
      <c r="Q68" s="479"/>
      <c r="R68" s="467"/>
      <c r="S68" s="468"/>
      <c r="T68" s="467"/>
      <c r="U68" s="467"/>
      <c r="V68" s="467"/>
      <c r="W68" s="467"/>
      <c r="X68" s="467"/>
      <c r="Y68" s="467"/>
      <c r="Z68" s="467"/>
      <c r="AA68" s="467"/>
      <c r="AB68" s="467"/>
      <c r="AC68" s="467"/>
    </row>
    <row r="69" spans="16:29">
      <c r="Q69" s="467"/>
      <c r="R69" s="467"/>
      <c r="S69" s="468"/>
      <c r="T69" s="467"/>
      <c r="U69" s="467"/>
      <c r="V69" s="467"/>
      <c r="W69" s="467"/>
      <c r="X69" s="467"/>
      <c r="Y69" s="467"/>
      <c r="Z69" s="467"/>
      <c r="AA69" s="467"/>
      <c r="AB69" s="467"/>
      <c r="AC69" s="467"/>
    </row>
    <row r="70" spans="16:29">
      <c r="Q70" s="467"/>
      <c r="R70" s="467"/>
      <c r="S70" s="467"/>
      <c r="T70" s="467"/>
      <c r="U70" s="467"/>
      <c r="V70" s="467"/>
      <c r="W70" s="467"/>
      <c r="X70" s="467"/>
      <c r="Y70" s="467"/>
      <c r="Z70" s="467"/>
      <c r="AA70" s="467"/>
      <c r="AB70" s="467"/>
      <c r="AC70" s="467"/>
    </row>
  </sheetData>
  <mergeCells count="3">
    <mergeCell ref="Q7:X7"/>
    <mergeCell ref="Q9:AA9"/>
    <mergeCell ref="C10:M10"/>
  </mergeCells>
  <dataValidations count="2">
    <dataValidation type="list" allowBlank="1" showInputMessage="1" showErrorMessage="1" sqref="O48 N11 N23 O22 O39 O10" xr:uid="{00000000-0002-0000-1100-000000000000}">
      <formula1>choix</formula1>
    </dataValidation>
    <dataValidation type="list" allowBlank="1" showInputMessage="1" showErrorMessage="1" sqref="B30:B36 B49:B54 B40:B44 B12:B19 B24:B27 R40:R45 R26:R32 R21:R24 R11:R18 R34:R38" xr:uid="{00000000-0002-0000-1100-000001000000}">
      <formula1>Choix_capacité</formula1>
    </dataValidation>
  </dataValidations>
  <pageMargins left="0.7" right="0.7" top="0.75" bottom="0.75" header="0.3" footer="0.3"/>
  <pageSetup paperSize="9" scale="25"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9">
    <tabColor theme="4"/>
    <pageSetUpPr fitToPage="1"/>
  </sheetPr>
  <dimension ref="A3:AG69"/>
  <sheetViews>
    <sheetView topLeftCell="E1" zoomScale="80" zoomScaleNormal="80" workbookViewId="0">
      <selection activeCell="AC69" sqref="R4:AC69"/>
    </sheetView>
  </sheetViews>
  <sheetFormatPr baseColWidth="10" defaultRowHeight="15"/>
  <cols>
    <col min="2" max="2" width="13.6640625" customWidth="1"/>
    <col min="3" max="3" width="17.6640625" customWidth="1"/>
    <col min="14" max="14" width="10.5" customWidth="1"/>
    <col min="15" max="16" width="13.5" bestFit="1" customWidth="1"/>
    <col min="19" max="19" width="17" customWidth="1"/>
  </cols>
  <sheetData>
    <row r="3" spans="1:33" ht="16" thickBot="1"/>
    <row r="4" spans="1:33" ht="19">
      <c r="B4" s="272" t="s">
        <v>108</v>
      </c>
      <c r="C4" s="228" t="s">
        <v>126</v>
      </c>
      <c r="D4" s="229" t="s">
        <v>37</v>
      </c>
      <c r="E4" s="227" t="s">
        <v>36</v>
      </c>
      <c r="G4" s="242"/>
      <c r="R4" s="272" t="s">
        <v>108</v>
      </c>
      <c r="S4" s="228" t="s">
        <v>126</v>
      </c>
      <c r="T4" s="229" t="s">
        <v>37</v>
      </c>
      <c r="U4" s="671" t="s">
        <v>36</v>
      </c>
      <c r="V4" s="983"/>
    </row>
    <row r="5" spans="1:33">
      <c r="C5" s="230" t="s">
        <v>55</v>
      </c>
      <c r="D5" s="231">
        <v>3</v>
      </c>
      <c r="R5" s="983"/>
      <c r="S5" s="230" t="s">
        <v>55</v>
      </c>
      <c r="T5" s="231">
        <v>3</v>
      </c>
      <c r="U5" s="983"/>
      <c r="V5" s="983"/>
    </row>
    <row r="6" spans="1:33" ht="16" thickBot="1">
      <c r="C6" s="232" t="s">
        <v>62</v>
      </c>
      <c r="D6" s="252">
        <v>40</v>
      </c>
      <c r="R6" s="983"/>
      <c r="S6" s="232" t="s">
        <v>62</v>
      </c>
      <c r="T6" s="986">
        <v>40</v>
      </c>
      <c r="U6" s="983"/>
      <c r="V6" s="983"/>
    </row>
    <row r="7" spans="1:33" ht="16" thickBot="1">
      <c r="T7" s="242"/>
    </row>
    <row r="8" spans="1:33" ht="49" thickBot="1">
      <c r="O8" s="320" t="s">
        <v>125</v>
      </c>
      <c r="P8" s="320" t="s">
        <v>408</v>
      </c>
    </row>
    <row r="9" spans="1:33">
      <c r="T9" s="250"/>
      <c r="U9" s="244"/>
    </row>
    <row r="10" spans="1:33" ht="16">
      <c r="R10" s="1041" t="s">
        <v>567</v>
      </c>
      <c r="S10" s="1042"/>
      <c r="T10" s="1042"/>
      <c r="U10" s="1042"/>
      <c r="V10" s="1042"/>
      <c r="W10" s="1042"/>
      <c r="X10" s="1042"/>
      <c r="Y10" s="1042"/>
    </row>
    <row r="11" spans="1:33" ht="16" thickBot="1">
      <c r="A11" s="371" t="s">
        <v>1136</v>
      </c>
      <c r="B11" s="882"/>
      <c r="C11" s="881"/>
      <c r="D11" s="881"/>
      <c r="E11" s="881"/>
      <c r="F11" s="881"/>
      <c r="G11" s="881"/>
      <c r="H11" s="881"/>
      <c r="I11" s="881"/>
      <c r="J11" s="881"/>
      <c r="K11" s="881"/>
      <c r="L11" s="881"/>
      <c r="M11" s="881"/>
      <c r="N11" s="881"/>
      <c r="O11" s="881"/>
      <c r="P11" s="616"/>
      <c r="Q11" s="690"/>
      <c r="R11" s="498" t="s">
        <v>529</v>
      </c>
      <c r="U11" s="245"/>
    </row>
    <row r="12" spans="1:33" ht="16" thickBot="1">
      <c r="A12" s="881"/>
      <c r="B12" s="881"/>
      <c r="C12" s="881"/>
      <c r="D12" s="881"/>
      <c r="E12" s="881"/>
      <c r="F12" s="881"/>
      <c r="G12" s="881"/>
      <c r="H12" s="881"/>
      <c r="I12" s="881"/>
      <c r="J12" s="881"/>
      <c r="K12" s="881"/>
      <c r="L12" s="881"/>
      <c r="M12" s="881"/>
      <c r="N12" s="881"/>
      <c r="O12" s="881"/>
      <c r="P12" s="616"/>
      <c r="Q12" s="690"/>
      <c r="R12" s="371" t="s">
        <v>1136</v>
      </c>
      <c r="AD12" s="931">
        <v>2</v>
      </c>
      <c r="AE12" s="925" t="s">
        <v>407</v>
      </c>
    </row>
    <row r="13" spans="1:33" ht="17" thickBot="1">
      <c r="A13" s="904" t="s">
        <v>127</v>
      </c>
      <c r="B13" s="905"/>
      <c r="C13" s="1079" t="s">
        <v>500</v>
      </c>
      <c r="D13" s="1079"/>
      <c r="E13" s="1079"/>
      <c r="F13" s="1079"/>
      <c r="G13" s="1079"/>
      <c r="H13" s="1079"/>
      <c r="I13" s="1079"/>
      <c r="J13" s="1079"/>
      <c r="K13" s="1079"/>
      <c r="L13" s="1079"/>
      <c r="M13" s="1079"/>
      <c r="N13" s="1079"/>
      <c r="O13" s="911">
        <v>2</v>
      </c>
      <c r="P13" s="914" t="s">
        <v>407</v>
      </c>
      <c r="Q13" s="690"/>
      <c r="R13" s="1080" t="s">
        <v>500</v>
      </c>
      <c r="S13" s="1080"/>
      <c r="T13" s="1080"/>
      <c r="U13" s="1080"/>
      <c r="V13" s="1080"/>
      <c r="W13" s="1080"/>
      <c r="X13" s="1080"/>
      <c r="Y13" s="1080"/>
      <c r="Z13" s="1080"/>
      <c r="AA13" s="1080"/>
      <c r="AB13" s="1080"/>
      <c r="AC13" s="1080"/>
      <c r="AD13" s="916"/>
      <c r="AE13" s="916"/>
      <c r="AF13" s="922"/>
      <c r="AG13" s="924"/>
    </row>
    <row r="14" spans="1:33">
      <c r="A14" s="902"/>
      <c r="B14" s="908" t="s">
        <v>410</v>
      </c>
      <c r="C14" s="909" t="s">
        <v>1419</v>
      </c>
      <c r="D14" s="902"/>
      <c r="E14" s="902"/>
      <c r="F14" s="902"/>
      <c r="G14" s="902"/>
      <c r="H14" s="902"/>
      <c r="I14" s="902"/>
      <c r="J14" s="902"/>
      <c r="K14" s="902"/>
      <c r="L14" s="902"/>
      <c r="M14" s="902"/>
      <c r="N14" s="902"/>
      <c r="O14" s="910"/>
      <c r="P14" s="913"/>
      <c r="Q14" s="690"/>
      <c r="R14" s="916"/>
      <c r="S14" s="920" t="s">
        <v>410</v>
      </c>
      <c r="T14" s="921" t="s">
        <v>1419</v>
      </c>
      <c r="U14" s="916"/>
      <c r="V14" s="916"/>
      <c r="W14" s="916"/>
      <c r="X14" s="916"/>
      <c r="Y14" s="916"/>
      <c r="Z14" s="916"/>
      <c r="AA14" s="916"/>
      <c r="AB14" s="916"/>
      <c r="AC14" s="916"/>
      <c r="AD14" s="916"/>
      <c r="AE14" s="916"/>
      <c r="AF14" s="922"/>
      <c r="AG14" s="916"/>
    </row>
    <row r="15" spans="1:33">
      <c r="A15" s="902"/>
      <c r="B15" s="908" t="s">
        <v>410</v>
      </c>
      <c r="C15" s="909" t="s">
        <v>1420</v>
      </c>
      <c r="D15" s="902"/>
      <c r="E15" s="902"/>
      <c r="F15" s="902"/>
      <c r="G15" s="902"/>
      <c r="H15" s="902"/>
      <c r="I15" s="902"/>
      <c r="J15" s="902"/>
      <c r="K15" s="902"/>
      <c r="L15" s="902"/>
      <c r="M15" s="902"/>
      <c r="N15" s="902"/>
      <c r="O15" s="910"/>
      <c r="P15" s="902"/>
      <c r="Q15" s="690"/>
      <c r="R15" s="916"/>
      <c r="S15" s="920" t="s">
        <v>410</v>
      </c>
      <c r="T15" s="921" t="s">
        <v>1420</v>
      </c>
      <c r="U15" s="916"/>
      <c r="V15" s="916"/>
      <c r="W15" s="916"/>
      <c r="X15" s="916"/>
      <c r="Y15" s="916"/>
      <c r="Z15" s="916"/>
      <c r="AA15" s="916"/>
      <c r="AB15" s="916"/>
      <c r="AC15" s="916"/>
      <c r="AD15" s="916"/>
      <c r="AE15" s="916"/>
      <c r="AF15" s="916"/>
      <c r="AG15" s="916"/>
    </row>
    <row r="16" spans="1:33">
      <c r="A16" s="902"/>
      <c r="B16" s="908" t="s">
        <v>410</v>
      </c>
      <c r="C16" s="902" t="s">
        <v>1421</v>
      </c>
      <c r="D16" s="902"/>
      <c r="E16" s="902"/>
      <c r="F16" s="902"/>
      <c r="G16" s="902"/>
      <c r="H16" s="902"/>
      <c r="I16" s="902"/>
      <c r="J16" s="902"/>
      <c r="K16" s="902"/>
      <c r="L16" s="902"/>
      <c r="M16" s="902"/>
      <c r="N16" s="902"/>
      <c r="O16" s="902"/>
      <c r="P16" s="902"/>
      <c r="Q16" s="690"/>
      <c r="R16" s="916"/>
      <c r="S16" s="920" t="s">
        <v>410</v>
      </c>
      <c r="T16" s="916" t="s">
        <v>1421</v>
      </c>
      <c r="U16" s="916"/>
      <c r="V16" s="916"/>
      <c r="W16" s="916"/>
      <c r="X16" s="916"/>
      <c r="Y16" s="916"/>
      <c r="Z16" s="916"/>
      <c r="AA16" s="916"/>
      <c r="AB16" s="916"/>
      <c r="AC16" s="916"/>
      <c r="AD16" s="916"/>
      <c r="AE16" s="916"/>
      <c r="AF16" s="916"/>
      <c r="AG16" s="916"/>
    </row>
    <row r="17" spans="1:33">
      <c r="A17" s="902"/>
      <c r="B17" s="908" t="s">
        <v>411</v>
      </c>
      <c r="C17" s="902" t="s">
        <v>1422</v>
      </c>
      <c r="D17" s="902"/>
      <c r="E17" s="902"/>
      <c r="F17" s="902"/>
      <c r="G17" s="902"/>
      <c r="H17" s="902"/>
      <c r="I17" s="902"/>
      <c r="J17" s="902"/>
      <c r="K17" s="902"/>
      <c r="L17" s="902"/>
      <c r="M17" s="902"/>
      <c r="N17" s="902"/>
      <c r="O17" s="902"/>
      <c r="P17" s="902"/>
      <c r="Q17" s="690"/>
      <c r="R17" s="916"/>
      <c r="S17" s="920" t="s">
        <v>411</v>
      </c>
      <c r="T17" s="916" t="s">
        <v>1422</v>
      </c>
      <c r="U17" s="916"/>
      <c r="V17" s="916"/>
      <c r="W17" s="916"/>
      <c r="X17" s="916"/>
      <c r="Y17" s="916"/>
      <c r="Z17" s="916"/>
      <c r="AA17" s="916"/>
      <c r="AB17" s="916"/>
      <c r="AC17" s="916"/>
      <c r="AD17" s="916"/>
      <c r="AE17" s="916"/>
      <c r="AF17" s="916"/>
      <c r="AG17" s="916"/>
    </row>
    <row r="18" spans="1:33">
      <c r="A18" s="902"/>
      <c r="B18" s="908" t="s">
        <v>411</v>
      </c>
      <c r="C18" s="902" t="s">
        <v>1423</v>
      </c>
      <c r="D18" s="902"/>
      <c r="E18" s="902"/>
      <c r="F18" s="902"/>
      <c r="G18" s="902"/>
      <c r="H18" s="902"/>
      <c r="I18" s="902"/>
      <c r="J18" s="902"/>
      <c r="K18" s="902"/>
      <c r="L18" s="902"/>
      <c r="M18" s="902"/>
      <c r="N18" s="902"/>
      <c r="O18" s="902"/>
      <c r="P18" s="902"/>
      <c r="Q18" s="690"/>
      <c r="R18" s="916"/>
      <c r="S18" s="920" t="s">
        <v>411</v>
      </c>
      <c r="T18" s="916" t="s">
        <v>1423</v>
      </c>
      <c r="U18" s="916"/>
      <c r="V18" s="916"/>
      <c r="W18" s="916"/>
      <c r="X18" s="916"/>
      <c r="Y18" s="916"/>
      <c r="Z18" s="916"/>
      <c r="AA18" s="916"/>
      <c r="AB18" s="916"/>
      <c r="AC18" s="916"/>
      <c r="AD18" s="916"/>
      <c r="AE18" s="916"/>
      <c r="AF18" s="916"/>
      <c r="AG18" s="916"/>
    </row>
    <row r="19" spans="1:33">
      <c r="A19" s="902"/>
      <c r="B19" s="908" t="s">
        <v>411</v>
      </c>
      <c r="C19" s="902" t="s">
        <v>268</v>
      </c>
      <c r="D19" s="902"/>
      <c r="E19" s="902"/>
      <c r="F19" s="902"/>
      <c r="G19" s="902"/>
      <c r="H19" s="902"/>
      <c r="I19" s="902"/>
      <c r="J19" s="902"/>
      <c r="K19" s="902"/>
      <c r="L19" s="902"/>
      <c r="M19" s="902"/>
      <c r="N19" s="902"/>
      <c r="O19" s="902"/>
      <c r="P19" s="902"/>
      <c r="Q19" s="690"/>
      <c r="R19" s="916"/>
      <c r="S19" s="920" t="s">
        <v>411</v>
      </c>
      <c r="T19" s="916" t="s">
        <v>268</v>
      </c>
      <c r="U19" s="916"/>
      <c r="V19" s="916"/>
      <c r="W19" s="916"/>
      <c r="X19" s="916"/>
      <c r="Y19" s="916"/>
      <c r="Z19" s="916"/>
      <c r="AA19" s="916"/>
      <c r="AB19" s="916"/>
      <c r="AC19" s="916"/>
      <c r="AD19" s="916"/>
      <c r="AE19" s="916"/>
      <c r="AF19" s="916"/>
      <c r="AG19" s="916"/>
    </row>
    <row r="20" spans="1:33" ht="16" thickBot="1">
      <c r="A20" s="902"/>
      <c r="B20" s="908" t="s">
        <v>130</v>
      </c>
      <c r="C20" s="934" t="s">
        <v>1424</v>
      </c>
      <c r="D20" s="902"/>
      <c r="E20" s="902"/>
      <c r="F20" s="902"/>
      <c r="G20" s="902"/>
      <c r="H20" s="902"/>
      <c r="I20" s="902"/>
      <c r="J20" s="902"/>
      <c r="K20" s="902"/>
      <c r="L20" s="902"/>
      <c r="M20" s="902"/>
      <c r="N20" s="902"/>
      <c r="O20" s="902"/>
      <c r="P20" s="902"/>
      <c r="Q20" s="690"/>
      <c r="R20" s="916"/>
      <c r="S20" s="916"/>
      <c r="T20" s="916"/>
      <c r="U20" s="916"/>
      <c r="V20" s="916"/>
      <c r="W20" s="916"/>
      <c r="X20" s="916"/>
      <c r="Y20" s="916"/>
      <c r="Z20" s="916"/>
      <c r="AA20" s="916"/>
      <c r="AB20" s="916"/>
      <c r="AC20" s="916"/>
      <c r="AD20" s="916"/>
      <c r="AE20" s="916"/>
      <c r="AF20" s="916"/>
      <c r="AG20" s="916"/>
    </row>
    <row r="21" spans="1:33" ht="16" thickBot="1">
      <c r="A21" s="902"/>
      <c r="B21" s="902"/>
      <c r="C21" s="902"/>
      <c r="D21" s="902"/>
      <c r="E21" s="902"/>
      <c r="F21" s="902"/>
      <c r="G21" s="902"/>
      <c r="H21" s="902"/>
      <c r="I21" s="902"/>
      <c r="J21" s="902"/>
      <c r="K21" s="902"/>
      <c r="L21" s="902"/>
      <c r="M21" s="902"/>
      <c r="N21" s="902"/>
      <c r="O21" s="902"/>
      <c r="P21" s="902"/>
      <c r="Q21" s="690"/>
      <c r="R21" s="929" t="s">
        <v>501</v>
      </c>
      <c r="S21" s="929"/>
      <c r="T21" s="929"/>
      <c r="U21" s="929"/>
      <c r="V21" s="929"/>
      <c r="W21" s="929"/>
      <c r="X21" s="929"/>
      <c r="Y21" s="929"/>
      <c r="Z21" s="916"/>
      <c r="AA21" s="916"/>
      <c r="AB21" s="916"/>
      <c r="AC21" s="916"/>
      <c r="AD21" s="930">
        <v>2</v>
      </c>
      <c r="AE21" s="926" t="s">
        <v>407</v>
      </c>
    </row>
    <row r="22" spans="1:33" ht="17" thickBot="1">
      <c r="A22" s="904" t="s">
        <v>128</v>
      </c>
      <c r="B22" s="905"/>
      <c r="C22" s="1078" t="s">
        <v>501</v>
      </c>
      <c r="D22" s="1078"/>
      <c r="E22" s="1078"/>
      <c r="F22" s="1078"/>
      <c r="G22" s="1078"/>
      <c r="H22" s="1078"/>
      <c r="I22" s="1078"/>
      <c r="J22" s="1078"/>
      <c r="K22" s="1078"/>
      <c r="L22" s="1078"/>
      <c r="M22" s="1078"/>
      <c r="N22" s="1078"/>
      <c r="O22" s="914">
        <v>2</v>
      </c>
      <c r="P22" s="915" t="s">
        <v>407</v>
      </c>
      <c r="Q22" s="690"/>
      <c r="R22" s="916"/>
      <c r="S22" s="920" t="s">
        <v>410</v>
      </c>
      <c r="T22" s="921" t="s">
        <v>1425</v>
      </c>
      <c r="U22" s="916"/>
      <c r="V22" s="916"/>
      <c r="W22" s="916"/>
      <c r="X22" s="916"/>
      <c r="Y22" s="916"/>
      <c r="Z22" s="929"/>
      <c r="AA22" s="929"/>
      <c r="AB22" s="929"/>
      <c r="AC22" s="929"/>
      <c r="AD22" s="916"/>
      <c r="AE22" s="916"/>
      <c r="AF22" s="924"/>
      <c r="AG22" s="924"/>
    </row>
    <row r="23" spans="1:33">
      <c r="A23" s="902"/>
      <c r="B23" s="908" t="s">
        <v>410</v>
      </c>
      <c r="C23" s="909" t="s">
        <v>1425</v>
      </c>
      <c r="D23" s="902"/>
      <c r="E23" s="902"/>
      <c r="F23" s="902"/>
      <c r="G23" s="902"/>
      <c r="H23" s="902"/>
      <c r="I23" s="902"/>
      <c r="J23" s="902"/>
      <c r="K23" s="902"/>
      <c r="L23" s="902"/>
      <c r="M23" s="902"/>
      <c r="N23" s="902"/>
      <c r="O23" s="913"/>
      <c r="P23" s="913"/>
      <c r="Q23" s="690"/>
      <c r="R23" s="916"/>
      <c r="S23" s="920" t="s">
        <v>410</v>
      </c>
      <c r="T23" s="916" t="s">
        <v>1426</v>
      </c>
      <c r="U23" s="916"/>
      <c r="V23" s="916"/>
      <c r="W23" s="916"/>
      <c r="X23" s="916"/>
      <c r="Y23" s="916"/>
      <c r="Z23" s="916"/>
      <c r="AA23" s="916"/>
      <c r="AB23" s="916"/>
      <c r="AC23" s="916"/>
      <c r="AD23" s="916"/>
      <c r="AE23" s="916"/>
      <c r="AF23" s="924"/>
      <c r="AG23" s="924"/>
    </row>
    <row r="24" spans="1:33">
      <c r="A24" s="902"/>
      <c r="B24" s="908" t="s">
        <v>410</v>
      </c>
      <c r="C24" s="935" t="s">
        <v>1426</v>
      </c>
      <c r="D24" s="902"/>
      <c r="E24" s="902"/>
      <c r="F24" s="902"/>
      <c r="G24" s="902"/>
      <c r="H24" s="902"/>
      <c r="I24" s="902"/>
      <c r="J24" s="902"/>
      <c r="K24" s="902"/>
      <c r="L24" s="902"/>
      <c r="M24" s="902"/>
      <c r="N24" s="902"/>
      <c r="O24" s="913"/>
      <c r="P24" s="913"/>
      <c r="Q24" s="690"/>
      <c r="R24" s="916"/>
      <c r="S24" s="920" t="s">
        <v>411</v>
      </c>
      <c r="T24" s="916" t="s">
        <v>1427</v>
      </c>
      <c r="U24" s="916"/>
      <c r="V24" s="916"/>
      <c r="W24" s="916"/>
      <c r="X24" s="916"/>
      <c r="Y24" s="916"/>
      <c r="Z24" s="916"/>
      <c r="AA24" s="916"/>
      <c r="AB24" s="916"/>
      <c r="AC24" s="916"/>
      <c r="AD24" s="916"/>
      <c r="AE24" s="916"/>
      <c r="AF24" s="924"/>
      <c r="AG24" s="924"/>
    </row>
    <row r="25" spans="1:33">
      <c r="A25" s="902"/>
      <c r="B25" s="908" t="s">
        <v>410</v>
      </c>
      <c r="C25" s="902"/>
      <c r="D25" s="902"/>
      <c r="E25" s="902"/>
      <c r="F25" s="902"/>
      <c r="G25" s="902"/>
      <c r="H25" s="902"/>
      <c r="I25" s="902"/>
      <c r="J25" s="902"/>
      <c r="K25" s="902"/>
      <c r="L25" s="902"/>
      <c r="M25" s="902"/>
      <c r="N25" s="902"/>
      <c r="O25" s="913"/>
      <c r="P25" s="913"/>
      <c r="Q25" s="690"/>
      <c r="R25" s="916"/>
      <c r="S25" s="920" t="s">
        <v>411</v>
      </c>
      <c r="T25" s="916" t="s">
        <v>1428</v>
      </c>
      <c r="U25" s="916"/>
      <c r="V25" s="916"/>
      <c r="W25" s="916"/>
      <c r="X25" s="916"/>
      <c r="Y25" s="916"/>
      <c r="Z25" s="916"/>
      <c r="AA25" s="916"/>
      <c r="AB25" s="916"/>
      <c r="AC25" s="916"/>
      <c r="AD25" s="916"/>
      <c r="AE25" s="916"/>
      <c r="AF25" s="924"/>
      <c r="AG25" s="924"/>
    </row>
    <row r="26" spans="1:33">
      <c r="A26" s="902"/>
      <c r="B26" s="908" t="s">
        <v>411</v>
      </c>
      <c r="C26" s="902" t="s">
        <v>1427</v>
      </c>
      <c r="D26" s="902"/>
      <c r="E26" s="902"/>
      <c r="F26" s="902"/>
      <c r="G26" s="902"/>
      <c r="H26" s="902"/>
      <c r="I26" s="902"/>
      <c r="J26" s="902"/>
      <c r="K26" s="902"/>
      <c r="L26" s="902"/>
      <c r="M26" s="902"/>
      <c r="N26" s="902"/>
      <c r="O26" s="913"/>
      <c r="P26" s="913"/>
      <c r="Q26" s="690"/>
      <c r="R26" s="916"/>
      <c r="S26" s="920" t="s">
        <v>411</v>
      </c>
      <c r="T26" s="916" t="s">
        <v>1429</v>
      </c>
      <c r="U26" s="916"/>
      <c r="V26" s="916"/>
      <c r="W26" s="916"/>
      <c r="X26" s="916"/>
      <c r="Y26" s="916"/>
      <c r="Z26" s="916"/>
      <c r="AA26" s="916"/>
      <c r="AB26" s="916"/>
      <c r="AC26" s="916"/>
      <c r="AD26" s="916"/>
      <c r="AE26" s="916"/>
      <c r="AF26" s="924"/>
      <c r="AG26" s="924"/>
    </row>
    <row r="27" spans="1:33">
      <c r="A27" s="902"/>
      <c r="B27" s="908" t="s">
        <v>411</v>
      </c>
      <c r="C27" s="902" t="s">
        <v>1428</v>
      </c>
      <c r="D27" s="902"/>
      <c r="E27" s="902"/>
      <c r="F27" s="902"/>
      <c r="G27" s="902"/>
      <c r="H27" s="902"/>
      <c r="I27" s="902"/>
      <c r="J27" s="902"/>
      <c r="K27" s="902"/>
      <c r="L27" s="902"/>
      <c r="M27" s="902"/>
      <c r="N27" s="902"/>
      <c r="O27" s="913"/>
      <c r="P27" s="913"/>
      <c r="Q27" s="690"/>
      <c r="R27" s="919"/>
      <c r="S27" s="917"/>
      <c r="T27" s="919"/>
      <c r="U27" s="919"/>
      <c r="V27" s="919"/>
      <c r="W27" s="919"/>
      <c r="X27" s="919"/>
      <c r="Y27" s="916"/>
      <c r="Z27" s="916"/>
      <c r="AA27" s="916"/>
      <c r="AB27" s="916"/>
      <c r="AC27" s="916"/>
      <c r="AD27" s="916"/>
      <c r="AE27" s="916"/>
      <c r="AF27" s="924"/>
      <c r="AG27" s="924"/>
    </row>
    <row r="28" spans="1:33">
      <c r="A28" s="902"/>
      <c r="B28" s="908" t="s">
        <v>411</v>
      </c>
      <c r="C28" s="902" t="s">
        <v>1429</v>
      </c>
      <c r="D28" s="902"/>
      <c r="E28" s="902"/>
      <c r="F28" s="902"/>
      <c r="G28" s="902"/>
      <c r="H28" s="902"/>
      <c r="I28" s="902"/>
      <c r="J28" s="902"/>
      <c r="K28" s="902"/>
      <c r="L28" s="902"/>
      <c r="M28" s="902"/>
      <c r="N28" s="902"/>
      <c r="O28" s="913"/>
      <c r="P28" s="913"/>
      <c r="Q28" s="690"/>
      <c r="R28" s="929" t="s">
        <v>502</v>
      </c>
      <c r="S28" s="929"/>
      <c r="T28" s="929"/>
      <c r="U28" s="929"/>
      <c r="V28" s="929"/>
      <c r="W28" s="929"/>
      <c r="X28" s="929"/>
      <c r="Y28" s="916"/>
      <c r="Z28" s="916"/>
      <c r="AA28" s="916"/>
      <c r="AB28" s="916"/>
      <c r="AC28" s="916"/>
      <c r="AD28" s="916"/>
      <c r="AE28" s="916"/>
      <c r="AF28" s="924"/>
      <c r="AG28" s="924"/>
    </row>
    <row r="29" spans="1:33" ht="16" thickBot="1">
      <c r="A29" s="902"/>
      <c r="B29" s="908" t="s">
        <v>130</v>
      </c>
      <c r="C29" s="934" t="s">
        <v>1430</v>
      </c>
      <c r="D29" s="902"/>
      <c r="E29" s="902"/>
      <c r="F29" s="902"/>
      <c r="G29" s="902"/>
      <c r="H29" s="902"/>
      <c r="I29" s="902"/>
      <c r="J29" s="902"/>
      <c r="K29" s="902"/>
      <c r="L29" s="902"/>
      <c r="M29" s="902"/>
      <c r="N29" s="902"/>
      <c r="O29" s="913"/>
      <c r="P29" s="913"/>
      <c r="Q29" s="690"/>
      <c r="R29" s="916"/>
      <c r="S29" s="920" t="s">
        <v>410</v>
      </c>
      <c r="T29" s="921" t="s">
        <v>1431</v>
      </c>
      <c r="U29" s="916"/>
      <c r="V29" s="916"/>
      <c r="W29" s="916"/>
      <c r="X29" s="916"/>
      <c r="Y29" s="919"/>
      <c r="Z29" s="916"/>
      <c r="AA29" s="916"/>
      <c r="AB29" s="916"/>
      <c r="AC29" s="916"/>
      <c r="AD29" s="919"/>
      <c r="AE29" s="919"/>
      <c r="AF29" s="919"/>
      <c r="AG29" s="916"/>
    </row>
    <row r="30" spans="1:33" ht="16" thickBot="1">
      <c r="A30" s="907"/>
      <c r="B30" s="903"/>
      <c r="C30" s="907"/>
      <c r="D30" s="907"/>
      <c r="E30" s="907"/>
      <c r="F30" s="907"/>
      <c r="G30" s="907"/>
      <c r="H30" s="907"/>
      <c r="I30" s="907"/>
      <c r="J30" s="907"/>
      <c r="K30" s="907"/>
      <c r="L30" s="907"/>
      <c r="M30" s="907"/>
      <c r="N30" s="907"/>
      <c r="O30" s="907"/>
      <c r="P30" s="902"/>
      <c r="Q30" s="690"/>
      <c r="R30" s="916"/>
      <c r="S30" s="920" t="s">
        <v>410</v>
      </c>
      <c r="T30" s="921" t="s">
        <v>1432</v>
      </c>
      <c r="U30" s="916"/>
      <c r="V30" s="916"/>
      <c r="W30" s="916"/>
      <c r="X30" s="916"/>
      <c r="Y30" s="929"/>
      <c r="Z30" s="919"/>
      <c r="AA30" s="919"/>
      <c r="AB30" s="919"/>
      <c r="AC30" s="919"/>
      <c r="AD30" s="930">
        <v>2</v>
      </c>
      <c r="AE30" s="926" t="s">
        <v>407</v>
      </c>
    </row>
    <row r="31" spans="1:33" ht="17" thickBot="1">
      <c r="A31" s="904" t="s">
        <v>129</v>
      </c>
      <c r="B31" s="905"/>
      <c r="C31" s="1078" t="s">
        <v>502</v>
      </c>
      <c r="D31" s="1078"/>
      <c r="E31" s="1078"/>
      <c r="F31" s="1078"/>
      <c r="G31" s="1078"/>
      <c r="H31" s="1078"/>
      <c r="I31" s="1078"/>
      <c r="J31" s="1078"/>
      <c r="K31" s="1078"/>
      <c r="L31" s="1078"/>
      <c r="M31" s="1078"/>
      <c r="N31" s="1078"/>
      <c r="O31" s="914">
        <v>2</v>
      </c>
      <c r="P31" s="915" t="s">
        <v>407</v>
      </c>
      <c r="Q31" s="690"/>
      <c r="R31" s="916"/>
      <c r="S31" s="920" t="s">
        <v>410</v>
      </c>
      <c r="T31" s="916" t="s">
        <v>1433</v>
      </c>
      <c r="U31" s="916"/>
      <c r="V31" s="916"/>
      <c r="W31" s="916"/>
      <c r="X31" s="916"/>
      <c r="Y31" s="916"/>
      <c r="Z31" s="929"/>
      <c r="AA31" s="929"/>
      <c r="AB31" s="929"/>
      <c r="AC31" s="929"/>
      <c r="AD31" s="916"/>
      <c r="AE31" s="916"/>
      <c r="AF31" s="924"/>
      <c r="AG31" s="924"/>
    </row>
    <row r="32" spans="1:33">
      <c r="A32" s="902"/>
      <c r="B32" s="908" t="s">
        <v>410</v>
      </c>
      <c r="C32" s="909" t="s">
        <v>1431</v>
      </c>
      <c r="D32" s="902"/>
      <c r="E32" s="902"/>
      <c r="F32" s="902"/>
      <c r="G32" s="902"/>
      <c r="H32" s="902"/>
      <c r="I32" s="902"/>
      <c r="J32" s="902"/>
      <c r="K32" s="902"/>
      <c r="L32" s="902"/>
      <c r="M32" s="902"/>
      <c r="N32" s="902"/>
      <c r="O32" s="913"/>
      <c r="P32" s="913"/>
      <c r="Q32" s="690"/>
      <c r="R32" s="916"/>
      <c r="S32" s="920" t="s">
        <v>411</v>
      </c>
      <c r="T32" s="916" t="s">
        <v>1434</v>
      </c>
      <c r="U32" s="916"/>
      <c r="V32" s="916"/>
      <c r="W32" s="916"/>
      <c r="X32" s="916"/>
      <c r="Y32" s="916"/>
      <c r="Z32" s="916"/>
      <c r="AA32" s="916"/>
      <c r="AB32" s="916"/>
      <c r="AC32" s="916"/>
      <c r="AD32" s="916"/>
      <c r="AE32" s="916"/>
      <c r="AF32" s="924"/>
      <c r="AG32" s="924"/>
    </row>
    <row r="33" spans="1:33">
      <c r="A33" s="902"/>
      <c r="B33" s="908" t="s">
        <v>410</v>
      </c>
      <c r="C33" s="909" t="s">
        <v>1432</v>
      </c>
      <c r="D33" s="902"/>
      <c r="E33" s="902"/>
      <c r="F33" s="902"/>
      <c r="G33" s="902"/>
      <c r="H33" s="902"/>
      <c r="I33" s="902"/>
      <c r="J33" s="902"/>
      <c r="K33" s="902"/>
      <c r="L33" s="902"/>
      <c r="M33" s="902"/>
      <c r="N33" s="902"/>
      <c r="O33" s="913"/>
      <c r="P33" s="913"/>
      <c r="Q33" s="690"/>
      <c r="R33" s="916"/>
      <c r="S33" s="920" t="s">
        <v>411</v>
      </c>
      <c r="T33" s="916" t="s">
        <v>1435</v>
      </c>
      <c r="U33" s="916"/>
      <c r="V33" s="916"/>
      <c r="W33" s="916"/>
      <c r="X33" s="916"/>
      <c r="Y33" s="916"/>
      <c r="Z33" s="916"/>
      <c r="AA33" s="916"/>
      <c r="AB33" s="916"/>
      <c r="AC33" s="916"/>
      <c r="AD33" s="916"/>
      <c r="AE33" s="916"/>
      <c r="AF33" s="924"/>
      <c r="AG33" s="924"/>
    </row>
    <row r="34" spans="1:33">
      <c r="A34" s="902"/>
      <c r="B34" s="908" t="s">
        <v>410</v>
      </c>
      <c r="C34" s="935" t="s">
        <v>1433</v>
      </c>
      <c r="D34" s="902"/>
      <c r="E34" s="902"/>
      <c r="F34" s="902"/>
      <c r="G34" s="902"/>
      <c r="H34" s="902"/>
      <c r="I34" s="902"/>
      <c r="J34" s="902"/>
      <c r="K34" s="902"/>
      <c r="L34" s="902"/>
      <c r="M34" s="902"/>
      <c r="N34" s="902"/>
      <c r="O34" s="913"/>
      <c r="P34" s="913"/>
      <c r="Q34" s="690"/>
      <c r="R34" s="916"/>
      <c r="S34" s="920" t="s">
        <v>411</v>
      </c>
      <c r="T34" s="916" t="s">
        <v>1436</v>
      </c>
      <c r="U34" s="916"/>
      <c r="V34" s="916"/>
      <c r="W34" s="916"/>
      <c r="X34" s="916"/>
      <c r="Y34" s="916"/>
      <c r="Z34" s="916"/>
      <c r="AA34" s="916"/>
      <c r="AB34" s="916"/>
      <c r="AC34" s="916"/>
      <c r="AD34" s="916"/>
      <c r="AE34" s="916"/>
      <c r="AF34" s="924"/>
      <c r="AG34" s="924"/>
    </row>
    <row r="35" spans="1:33">
      <c r="A35" s="902"/>
      <c r="B35" s="908" t="s">
        <v>411</v>
      </c>
      <c r="C35" s="902" t="s">
        <v>1434</v>
      </c>
      <c r="D35" s="902"/>
      <c r="E35" s="902"/>
      <c r="F35" s="902"/>
      <c r="G35" s="902"/>
      <c r="H35" s="902"/>
      <c r="I35" s="902"/>
      <c r="J35" s="902"/>
      <c r="K35" s="902"/>
      <c r="L35" s="902"/>
      <c r="M35" s="902"/>
      <c r="N35" s="902"/>
      <c r="O35" s="913"/>
      <c r="P35" s="913"/>
      <c r="Q35" s="690"/>
      <c r="R35" s="916"/>
      <c r="S35" s="920"/>
      <c r="T35" s="916"/>
      <c r="U35" s="916"/>
      <c r="V35" s="916"/>
      <c r="W35" s="916"/>
      <c r="X35" s="916"/>
      <c r="Y35" s="916"/>
      <c r="Z35" s="916"/>
      <c r="AA35" s="916"/>
      <c r="AB35" s="916"/>
      <c r="AC35" s="916"/>
      <c r="AD35" s="916"/>
      <c r="AE35" s="916"/>
      <c r="AF35" s="924"/>
      <c r="AG35" s="924"/>
    </row>
    <row r="36" spans="1:33">
      <c r="A36" s="902"/>
      <c r="B36" s="908" t="s">
        <v>411</v>
      </c>
      <c r="C36" s="902" t="s">
        <v>1435</v>
      </c>
      <c r="D36" s="902"/>
      <c r="E36" s="902"/>
      <c r="F36" s="902"/>
      <c r="G36" s="902"/>
      <c r="H36" s="902"/>
      <c r="I36" s="902"/>
      <c r="J36" s="902"/>
      <c r="K36" s="902"/>
      <c r="L36" s="902"/>
      <c r="M36" s="902"/>
      <c r="N36" s="902"/>
      <c r="O36" s="913"/>
      <c r="P36" s="913"/>
      <c r="Q36" s="690"/>
      <c r="R36" s="929" t="s">
        <v>504</v>
      </c>
      <c r="S36" s="929"/>
      <c r="T36" s="929"/>
      <c r="U36" s="929"/>
      <c r="V36" s="929"/>
      <c r="W36" s="929"/>
      <c r="X36" s="929"/>
      <c r="Y36" s="916"/>
      <c r="Z36" s="916"/>
      <c r="AA36" s="916"/>
      <c r="AB36" s="916"/>
      <c r="AC36" s="916"/>
      <c r="AD36" s="916"/>
      <c r="AE36" s="916"/>
      <c r="AF36" s="924"/>
      <c r="AG36" s="924"/>
    </row>
    <row r="37" spans="1:33">
      <c r="A37" s="902"/>
      <c r="B37" s="908" t="s">
        <v>411</v>
      </c>
      <c r="C37" s="902" t="s">
        <v>1436</v>
      </c>
      <c r="D37" s="902"/>
      <c r="E37" s="902"/>
      <c r="F37" s="902"/>
      <c r="G37" s="902"/>
      <c r="H37" s="902"/>
      <c r="I37" s="902"/>
      <c r="J37" s="902"/>
      <c r="K37" s="902"/>
      <c r="L37" s="902"/>
      <c r="M37" s="902"/>
      <c r="N37" s="902"/>
      <c r="O37" s="913"/>
      <c r="P37" s="913"/>
      <c r="Q37" s="690"/>
      <c r="R37" s="916"/>
      <c r="S37" s="920" t="s">
        <v>410</v>
      </c>
      <c r="T37" s="921" t="s">
        <v>1438</v>
      </c>
      <c r="U37" s="916"/>
      <c r="V37" s="916"/>
      <c r="W37" s="916"/>
      <c r="X37" s="916"/>
      <c r="Y37" s="916"/>
      <c r="Z37" s="916"/>
      <c r="AA37" s="916"/>
      <c r="AB37" s="916"/>
      <c r="AC37" s="916"/>
      <c r="AD37" s="916"/>
      <c r="AE37" s="916"/>
      <c r="AF37" s="924"/>
      <c r="AG37" s="924"/>
    </row>
    <row r="38" spans="1:33" ht="16" thickBot="1">
      <c r="A38" s="902"/>
      <c r="B38" s="908" t="s">
        <v>130</v>
      </c>
      <c r="C38" s="934" t="s">
        <v>1437</v>
      </c>
      <c r="D38" s="902"/>
      <c r="E38" s="902"/>
      <c r="F38" s="902"/>
      <c r="G38" s="902"/>
      <c r="H38" s="902"/>
      <c r="I38" s="902"/>
      <c r="J38" s="902"/>
      <c r="K38" s="902"/>
      <c r="L38" s="902"/>
      <c r="M38" s="902"/>
      <c r="N38" s="902"/>
      <c r="O38" s="913"/>
      <c r="P38" s="913"/>
      <c r="Q38" s="690"/>
      <c r="R38" s="916"/>
      <c r="S38" s="920" t="s">
        <v>410</v>
      </c>
      <c r="T38" s="921" t="s">
        <v>1439</v>
      </c>
      <c r="U38" s="916"/>
      <c r="V38" s="916"/>
      <c r="W38" s="916"/>
      <c r="X38" s="916"/>
      <c r="Y38" s="929"/>
      <c r="Z38" s="916"/>
      <c r="AA38" s="916"/>
      <c r="AB38" s="916"/>
      <c r="AC38" s="916"/>
      <c r="AD38" s="916"/>
      <c r="AE38" s="916"/>
      <c r="AF38" s="924"/>
      <c r="AG38" s="924"/>
    </row>
    <row r="39" spans="1:33" s="881" customFormat="1" ht="16" thickBot="1">
      <c r="A39" s="902"/>
      <c r="B39" s="908"/>
      <c r="C39" s="902"/>
      <c r="D39" s="902"/>
      <c r="E39" s="902"/>
      <c r="F39" s="902"/>
      <c r="G39" s="902"/>
      <c r="H39" s="902"/>
      <c r="I39" s="902"/>
      <c r="J39" s="902"/>
      <c r="K39" s="902"/>
      <c r="L39" s="902"/>
      <c r="M39" s="902"/>
      <c r="N39" s="902"/>
      <c r="O39" s="913"/>
      <c r="P39" s="913"/>
      <c r="Q39" s="690"/>
      <c r="R39" s="916"/>
      <c r="S39" s="920" t="s">
        <v>410</v>
      </c>
      <c r="T39" s="916" t="s">
        <v>1440</v>
      </c>
      <c r="U39" s="916"/>
      <c r="V39" s="916"/>
      <c r="W39" s="916"/>
      <c r="X39" s="916"/>
      <c r="Y39" s="916"/>
      <c r="Z39" s="916"/>
      <c r="AA39" s="916"/>
      <c r="AB39" s="916"/>
      <c r="AC39" s="916"/>
      <c r="AD39" s="930">
        <v>2</v>
      </c>
      <c r="AE39" s="926" t="s">
        <v>407</v>
      </c>
    </row>
    <row r="40" spans="1:33" s="881" customFormat="1" ht="17" thickBot="1">
      <c r="A40" s="904" t="s">
        <v>140</v>
      </c>
      <c r="B40" s="905"/>
      <c r="C40" s="1078" t="s">
        <v>504</v>
      </c>
      <c r="D40" s="1078"/>
      <c r="E40" s="1078"/>
      <c r="F40" s="1078"/>
      <c r="G40" s="1078"/>
      <c r="H40" s="1078"/>
      <c r="I40" s="1078"/>
      <c r="J40" s="1078"/>
      <c r="K40" s="1078"/>
      <c r="L40" s="1078"/>
      <c r="M40" s="1078"/>
      <c r="N40" s="1078"/>
      <c r="O40" s="914">
        <v>2</v>
      </c>
      <c r="P40" s="915" t="s">
        <v>407</v>
      </c>
      <c r="Q40" s="690"/>
      <c r="R40" s="916"/>
      <c r="S40" s="920" t="s">
        <v>411</v>
      </c>
      <c r="T40" s="916" t="s">
        <v>1436</v>
      </c>
      <c r="U40" s="916"/>
      <c r="V40" s="916"/>
      <c r="W40" s="916"/>
      <c r="X40" s="916"/>
      <c r="Y40" s="916"/>
      <c r="Z40" s="929"/>
      <c r="AA40" s="929"/>
      <c r="AB40" s="929"/>
      <c r="AC40" s="929"/>
      <c r="AD40" s="916"/>
      <c r="AE40" s="916"/>
      <c r="AF40" s="924"/>
      <c r="AG40" s="924"/>
    </row>
    <row r="41" spans="1:33">
      <c r="A41" s="902"/>
      <c r="B41" s="908" t="s">
        <v>410</v>
      </c>
      <c r="C41" s="909" t="s">
        <v>1438</v>
      </c>
      <c r="D41" s="902"/>
      <c r="E41" s="902"/>
      <c r="F41" s="902"/>
      <c r="G41" s="902"/>
      <c r="H41" s="902"/>
      <c r="I41" s="902"/>
      <c r="J41" s="902"/>
      <c r="K41" s="902"/>
      <c r="L41" s="902"/>
      <c r="M41" s="902"/>
      <c r="N41" s="902"/>
      <c r="O41" s="913"/>
      <c r="P41" s="913"/>
      <c r="Q41" s="690"/>
      <c r="R41" s="916"/>
      <c r="S41" s="920" t="s">
        <v>411</v>
      </c>
      <c r="T41" s="916" t="s">
        <v>1441</v>
      </c>
      <c r="U41" s="916"/>
      <c r="V41" s="916"/>
      <c r="W41" s="916"/>
      <c r="X41" s="916"/>
      <c r="Y41" s="916"/>
      <c r="Z41" s="916"/>
      <c r="AA41" s="916"/>
      <c r="AB41" s="916"/>
      <c r="AC41" s="916"/>
      <c r="AD41" s="916"/>
      <c r="AE41" s="916"/>
      <c r="AF41" s="924"/>
      <c r="AG41" s="924"/>
    </row>
    <row r="42" spans="1:33">
      <c r="A42" s="902"/>
      <c r="B42" s="908" t="s">
        <v>410</v>
      </c>
      <c r="C42" s="909" t="s">
        <v>1439</v>
      </c>
      <c r="D42" s="902"/>
      <c r="E42" s="902"/>
      <c r="F42" s="902"/>
      <c r="G42" s="902"/>
      <c r="H42" s="902"/>
      <c r="I42" s="902"/>
      <c r="J42" s="902"/>
      <c r="K42" s="902"/>
      <c r="L42" s="902"/>
      <c r="M42" s="902"/>
      <c r="N42" s="902"/>
      <c r="O42" s="913"/>
      <c r="P42" s="913"/>
      <c r="Q42" s="690"/>
      <c r="R42" s="916"/>
      <c r="S42" s="920" t="s">
        <v>411</v>
      </c>
      <c r="T42" s="916" t="s">
        <v>274</v>
      </c>
      <c r="U42" s="916"/>
      <c r="V42" s="916"/>
      <c r="W42" s="916"/>
      <c r="X42" s="916"/>
      <c r="Y42" s="916"/>
      <c r="Z42" s="916"/>
      <c r="AA42" s="916"/>
      <c r="AB42" s="916"/>
      <c r="AC42" s="916"/>
      <c r="AD42" s="916"/>
      <c r="AE42" s="916"/>
      <c r="AF42" s="924"/>
      <c r="AG42" s="924"/>
    </row>
    <row r="43" spans="1:33">
      <c r="A43" s="902"/>
      <c r="B43" s="908" t="s">
        <v>410</v>
      </c>
      <c r="C43" s="935" t="s">
        <v>1440</v>
      </c>
      <c r="D43" s="902"/>
      <c r="E43" s="902"/>
      <c r="F43" s="902"/>
      <c r="G43" s="902"/>
      <c r="H43" s="902"/>
      <c r="I43" s="902"/>
      <c r="J43" s="902"/>
      <c r="K43" s="902"/>
      <c r="L43" s="902"/>
      <c r="M43" s="902"/>
      <c r="N43" s="902"/>
      <c r="O43" s="913"/>
      <c r="P43" s="913"/>
      <c r="Q43" s="690"/>
      <c r="R43" s="916"/>
      <c r="S43" s="916"/>
      <c r="T43" s="916"/>
      <c r="U43" s="916"/>
      <c r="V43" s="916"/>
      <c r="W43" s="916"/>
      <c r="X43" s="916"/>
      <c r="Y43" s="916"/>
      <c r="Z43" s="916"/>
      <c r="AA43" s="916"/>
      <c r="AB43" s="916"/>
      <c r="AC43" s="916"/>
      <c r="AD43" s="916"/>
      <c r="AE43" s="916"/>
      <c r="AF43" s="924"/>
      <c r="AG43" s="924"/>
    </row>
    <row r="44" spans="1:33">
      <c r="A44" s="902"/>
      <c r="B44" s="908" t="s">
        <v>411</v>
      </c>
      <c r="C44" s="902" t="s">
        <v>1436</v>
      </c>
      <c r="D44" s="902"/>
      <c r="E44" s="902"/>
      <c r="F44" s="902"/>
      <c r="G44" s="902"/>
      <c r="H44" s="902"/>
      <c r="I44" s="902"/>
      <c r="J44" s="902"/>
      <c r="K44" s="902"/>
      <c r="L44" s="902"/>
      <c r="M44" s="902"/>
      <c r="N44" s="902"/>
      <c r="O44" s="913"/>
      <c r="P44" s="913"/>
      <c r="Q44" s="690"/>
      <c r="R44" s="923" t="s">
        <v>1390</v>
      </c>
      <c r="S44" s="916"/>
      <c r="T44" s="916"/>
      <c r="U44" s="916"/>
      <c r="V44" s="916"/>
      <c r="W44" s="916"/>
      <c r="X44" s="916"/>
      <c r="Y44" s="916"/>
      <c r="Z44" s="916"/>
      <c r="AA44" s="916"/>
      <c r="AB44" s="916"/>
      <c r="AC44" s="916"/>
      <c r="AD44" s="916"/>
      <c r="AE44" s="916"/>
      <c r="AF44" s="924"/>
      <c r="AG44" s="924"/>
    </row>
    <row r="45" spans="1:33">
      <c r="A45" s="902"/>
      <c r="B45" s="908" t="s">
        <v>411</v>
      </c>
      <c r="C45" s="902" t="s">
        <v>1441</v>
      </c>
      <c r="D45" s="902"/>
      <c r="E45" s="902"/>
      <c r="F45" s="902"/>
      <c r="G45" s="902"/>
      <c r="H45" s="902"/>
      <c r="I45" s="902"/>
      <c r="J45" s="902"/>
      <c r="K45" s="902"/>
      <c r="L45" s="902"/>
      <c r="M45" s="902"/>
      <c r="N45" s="902"/>
      <c r="O45" s="913"/>
      <c r="P45" s="913"/>
      <c r="Q45" s="690"/>
      <c r="R45" s="929" t="s">
        <v>124</v>
      </c>
      <c r="S45" s="929"/>
      <c r="T45" s="929"/>
      <c r="U45" s="929"/>
      <c r="V45" s="929"/>
      <c r="W45" s="929"/>
      <c r="X45" s="929"/>
      <c r="Y45" s="916"/>
      <c r="Z45" s="916"/>
      <c r="AA45" s="916"/>
      <c r="AB45" s="916"/>
      <c r="AC45" s="916"/>
      <c r="AD45" s="916"/>
      <c r="AE45" s="916"/>
      <c r="AF45" s="924"/>
      <c r="AG45" s="924"/>
    </row>
    <row r="46" spans="1:33">
      <c r="A46" s="902"/>
      <c r="B46" s="908" t="s">
        <v>411</v>
      </c>
      <c r="C46" s="902" t="s">
        <v>274</v>
      </c>
      <c r="D46" s="902"/>
      <c r="E46" s="902"/>
      <c r="F46" s="902"/>
      <c r="G46" s="902"/>
      <c r="H46" s="902"/>
      <c r="I46" s="902"/>
      <c r="J46" s="902"/>
      <c r="K46" s="902"/>
      <c r="L46" s="902"/>
      <c r="M46" s="902"/>
      <c r="N46" s="902"/>
      <c r="O46" s="913"/>
      <c r="P46" s="913"/>
      <c r="Q46" s="690"/>
      <c r="R46" s="916"/>
      <c r="S46" s="920" t="s">
        <v>410</v>
      </c>
      <c r="T46" s="916" t="s">
        <v>1443</v>
      </c>
      <c r="U46" s="916"/>
      <c r="V46" s="916"/>
      <c r="W46" s="916"/>
      <c r="X46" s="916"/>
      <c r="Y46" s="893"/>
      <c r="Z46" s="916"/>
      <c r="AA46" s="916"/>
      <c r="AB46" s="916"/>
      <c r="AC46" s="916"/>
      <c r="AD46" s="916"/>
      <c r="AE46" s="916"/>
      <c r="AF46" s="924"/>
      <c r="AG46" s="924"/>
    </row>
    <row r="47" spans="1:33">
      <c r="A47" s="902"/>
      <c r="B47" s="908" t="s">
        <v>130</v>
      </c>
      <c r="C47" s="934" t="s">
        <v>1442</v>
      </c>
      <c r="D47" s="902"/>
      <c r="E47" s="902"/>
      <c r="F47" s="902"/>
      <c r="G47" s="902"/>
      <c r="H47" s="902"/>
      <c r="I47" s="902"/>
      <c r="J47" s="902"/>
      <c r="K47" s="902"/>
      <c r="L47" s="902"/>
      <c r="M47" s="902"/>
      <c r="N47" s="902"/>
      <c r="O47" s="913"/>
      <c r="P47" s="913"/>
      <c r="Q47" s="690"/>
      <c r="R47" s="916"/>
      <c r="S47" s="920" t="s">
        <v>410</v>
      </c>
      <c r="T47" s="916" t="s">
        <v>1444</v>
      </c>
      <c r="U47" s="916"/>
      <c r="V47" s="916"/>
      <c r="W47" s="916"/>
      <c r="X47" s="916"/>
      <c r="Y47" s="929"/>
      <c r="Z47" s="916"/>
      <c r="AA47" s="916"/>
      <c r="AB47" s="916"/>
      <c r="AC47" s="916"/>
      <c r="AD47" s="916"/>
      <c r="AE47" s="916"/>
      <c r="AF47" s="922"/>
      <c r="AG47" s="916"/>
    </row>
    <row r="48" spans="1:33">
      <c r="A48" s="902"/>
      <c r="B48" s="902"/>
      <c r="C48" s="902"/>
      <c r="D48" s="902"/>
      <c r="E48" s="902"/>
      <c r="F48" s="902"/>
      <c r="G48" s="902"/>
      <c r="H48" s="902"/>
      <c r="I48" s="902"/>
      <c r="J48" s="902"/>
      <c r="K48" s="902"/>
      <c r="L48" s="902"/>
      <c r="M48" s="902"/>
      <c r="N48" s="902"/>
      <c r="O48" s="910"/>
      <c r="P48" s="902"/>
      <c r="Q48" s="690"/>
      <c r="R48" s="916"/>
      <c r="S48" s="920" t="s">
        <v>410</v>
      </c>
      <c r="T48" s="916" t="s">
        <v>1445</v>
      </c>
      <c r="U48" s="916"/>
      <c r="V48" s="916"/>
      <c r="W48" s="916"/>
      <c r="X48" s="916"/>
      <c r="Y48" s="916"/>
      <c r="Z48" s="893"/>
      <c r="AA48" s="893"/>
      <c r="AB48" s="916"/>
      <c r="AC48" s="916"/>
      <c r="AD48" s="916"/>
      <c r="AE48" s="916"/>
      <c r="AF48" s="916"/>
      <c r="AG48" s="916"/>
    </row>
    <row r="49" spans="1:33" ht="16" thickBot="1">
      <c r="A49" s="912" t="s">
        <v>1390</v>
      </c>
      <c r="B49" s="902"/>
      <c r="C49" s="902"/>
      <c r="D49" s="902"/>
      <c r="E49" s="902"/>
      <c r="F49" s="902"/>
      <c r="G49" s="902"/>
      <c r="H49" s="902"/>
      <c r="I49" s="902"/>
      <c r="J49" s="902"/>
      <c r="K49" s="902"/>
      <c r="L49" s="902"/>
      <c r="M49" s="902"/>
      <c r="N49" s="902"/>
      <c r="O49" s="902"/>
      <c r="P49" s="902"/>
      <c r="Q49" s="690"/>
      <c r="R49" s="916"/>
      <c r="S49" s="920" t="s">
        <v>411</v>
      </c>
      <c r="T49" s="916" t="s">
        <v>1446</v>
      </c>
      <c r="U49" s="916"/>
      <c r="V49" s="916"/>
      <c r="W49" s="916"/>
      <c r="X49" s="916"/>
      <c r="Y49" s="916"/>
      <c r="Z49" s="929"/>
      <c r="AA49" s="929"/>
      <c r="AB49" s="893"/>
      <c r="AC49" s="893"/>
      <c r="AD49" s="893"/>
      <c r="AE49" s="893"/>
      <c r="AF49" s="893"/>
      <c r="AG49" s="893"/>
    </row>
    <row r="50" spans="1:33" ht="16" thickBot="1">
      <c r="A50" s="893"/>
      <c r="B50" s="893"/>
      <c r="C50" s="893"/>
      <c r="D50" s="893"/>
      <c r="E50" s="893"/>
      <c r="F50" s="893"/>
      <c r="G50" s="893"/>
      <c r="H50" s="893"/>
      <c r="I50" s="893"/>
      <c r="J50" s="893"/>
      <c r="K50" s="893"/>
      <c r="L50" s="893"/>
      <c r="M50" s="893"/>
      <c r="N50" s="893"/>
      <c r="O50" s="893"/>
      <c r="P50" s="893"/>
      <c r="Q50" s="690"/>
      <c r="R50" s="916"/>
      <c r="S50" s="920" t="s">
        <v>411</v>
      </c>
      <c r="T50" s="916" t="s">
        <v>1434</v>
      </c>
      <c r="U50" s="916"/>
      <c r="V50" s="916"/>
      <c r="W50" s="916"/>
      <c r="X50" s="916"/>
      <c r="Y50" s="916"/>
      <c r="Z50" s="916"/>
      <c r="AA50" s="916"/>
      <c r="AB50" s="929"/>
      <c r="AC50" s="929"/>
      <c r="AD50" s="931">
        <v>2</v>
      </c>
      <c r="AE50" s="918" t="s">
        <v>407</v>
      </c>
    </row>
    <row r="51" spans="1:33" ht="17" thickBot="1">
      <c r="A51" s="904" t="s">
        <v>127</v>
      </c>
      <c r="B51" s="905"/>
      <c r="C51" s="1079" t="s">
        <v>124</v>
      </c>
      <c r="D51" s="1079"/>
      <c r="E51" s="1079"/>
      <c r="F51" s="1079"/>
      <c r="G51" s="1079"/>
      <c r="H51" s="1079"/>
      <c r="I51" s="1079"/>
      <c r="J51" s="1079"/>
      <c r="K51" s="1079"/>
      <c r="L51" s="1079"/>
      <c r="M51" s="1079"/>
      <c r="N51" s="1079"/>
      <c r="O51" s="911">
        <v>2</v>
      </c>
      <c r="P51" s="906" t="s">
        <v>407</v>
      </c>
      <c r="Q51" s="690"/>
      <c r="Y51" s="916"/>
      <c r="Z51" s="916"/>
      <c r="AA51" s="916"/>
      <c r="AB51" s="916"/>
      <c r="AC51" s="916"/>
      <c r="AD51" s="916"/>
      <c r="AE51" s="916"/>
      <c r="AF51" s="922"/>
      <c r="AG51" s="916"/>
    </row>
    <row r="52" spans="1:33">
      <c r="A52" s="902"/>
      <c r="B52" s="908" t="s">
        <v>410</v>
      </c>
      <c r="C52" s="935" t="s">
        <v>1443</v>
      </c>
      <c r="D52" s="902"/>
      <c r="E52" s="902"/>
      <c r="F52" s="902"/>
      <c r="G52" s="902"/>
      <c r="H52" s="902"/>
      <c r="I52" s="902"/>
      <c r="J52" s="902"/>
      <c r="K52" s="902"/>
      <c r="L52" s="902"/>
      <c r="M52" s="902"/>
      <c r="N52" s="902"/>
      <c r="O52" s="910"/>
      <c r="P52" s="902"/>
      <c r="Q52" s="690"/>
      <c r="R52" s="928" t="s">
        <v>186</v>
      </c>
      <c r="S52" s="927"/>
      <c r="Y52" s="916"/>
      <c r="Z52" s="916"/>
      <c r="AA52" s="916"/>
      <c r="AB52" s="916"/>
      <c r="AC52" s="916"/>
      <c r="AD52" s="916"/>
      <c r="AE52" s="916"/>
      <c r="AF52" s="922"/>
      <c r="AG52" s="916"/>
    </row>
    <row r="53" spans="1:33">
      <c r="A53" s="902"/>
      <c r="B53" s="908" t="s">
        <v>410</v>
      </c>
      <c r="C53" s="935" t="s">
        <v>1444</v>
      </c>
      <c r="D53" s="902"/>
      <c r="E53" s="902"/>
      <c r="F53" s="902"/>
      <c r="G53" s="902"/>
      <c r="H53" s="902"/>
      <c r="I53" s="902"/>
      <c r="J53" s="902"/>
      <c r="K53" s="902"/>
      <c r="L53" s="902"/>
      <c r="M53" s="902"/>
      <c r="N53" s="902"/>
      <c r="O53" s="910"/>
      <c r="P53" s="902"/>
      <c r="Q53" s="690"/>
      <c r="R53" s="932" t="s">
        <v>267</v>
      </c>
      <c r="S53" s="927"/>
      <c r="Z53" s="916"/>
      <c r="AA53" s="916"/>
      <c r="AB53" s="916"/>
      <c r="AC53" s="916"/>
      <c r="AD53" s="916"/>
      <c r="AE53" s="916"/>
      <c r="AF53" s="916"/>
      <c r="AG53" s="916"/>
    </row>
    <row r="54" spans="1:33">
      <c r="A54" s="902"/>
      <c r="B54" s="908" t="s">
        <v>410</v>
      </c>
      <c r="C54" s="935" t="s">
        <v>1445</v>
      </c>
      <c r="D54" s="902"/>
      <c r="E54" s="902"/>
      <c r="F54" s="902"/>
      <c r="G54" s="902"/>
      <c r="H54" s="902"/>
      <c r="I54" s="902"/>
      <c r="J54" s="902"/>
      <c r="K54" s="902"/>
      <c r="L54" s="902"/>
      <c r="M54" s="902"/>
      <c r="N54" s="902"/>
      <c r="O54" s="902"/>
      <c r="P54" s="902"/>
      <c r="Q54" s="690"/>
      <c r="R54" s="932" t="s">
        <v>268</v>
      </c>
      <c r="S54" s="927"/>
      <c r="Z54" s="916"/>
      <c r="AA54" s="916"/>
      <c r="AB54" s="916"/>
      <c r="AC54" s="916"/>
      <c r="AD54" s="916"/>
      <c r="AE54" s="916"/>
      <c r="AF54" s="916"/>
      <c r="AG54" s="916"/>
    </row>
    <row r="55" spans="1:33">
      <c r="A55" s="902"/>
      <c r="B55" s="908" t="s">
        <v>411</v>
      </c>
      <c r="C55" s="902" t="s">
        <v>1446</v>
      </c>
      <c r="D55" s="902"/>
      <c r="E55" s="902"/>
      <c r="F55" s="902"/>
      <c r="G55" s="902"/>
      <c r="H55" s="902"/>
      <c r="I55" s="902"/>
      <c r="J55" s="902"/>
      <c r="K55" s="902"/>
      <c r="L55" s="902"/>
      <c r="M55" s="902"/>
      <c r="N55" s="902"/>
      <c r="O55" s="902"/>
      <c r="P55" s="902"/>
      <c r="Q55" s="690"/>
      <c r="R55" s="932" t="s">
        <v>269</v>
      </c>
      <c r="S55" s="927"/>
      <c r="AA55" s="916"/>
      <c r="AB55" s="916"/>
      <c r="AC55" s="916"/>
      <c r="AD55" s="916"/>
      <c r="AE55" s="916"/>
      <c r="AF55" s="916"/>
      <c r="AG55" s="916"/>
    </row>
    <row r="56" spans="1:33">
      <c r="A56" s="902"/>
      <c r="B56" s="908" t="s">
        <v>411</v>
      </c>
      <c r="C56" s="902" t="s">
        <v>1434</v>
      </c>
      <c r="D56" s="902"/>
      <c r="E56" s="902"/>
      <c r="F56" s="902"/>
      <c r="G56" s="902"/>
      <c r="H56" s="902"/>
      <c r="I56" s="902"/>
      <c r="J56" s="902"/>
      <c r="K56" s="902"/>
      <c r="L56" s="902"/>
      <c r="M56" s="902"/>
      <c r="N56" s="902"/>
      <c r="O56" s="902"/>
      <c r="P56" s="902"/>
      <c r="Q56" s="690"/>
      <c r="R56" s="932" t="s">
        <v>276</v>
      </c>
      <c r="S56" s="927"/>
      <c r="AB56" s="916"/>
      <c r="AC56" s="916"/>
      <c r="AD56" s="916"/>
      <c r="AE56" s="916"/>
      <c r="AF56" s="916"/>
      <c r="AG56" s="916"/>
    </row>
    <row r="57" spans="1:33">
      <c r="A57" s="902"/>
      <c r="B57" s="908" t="s">
        <v>411</v>
      </c>
      <c r="C57" s="902"/>
      <c r="D57" s="902"/>
      <c r="E57" s="902"/>
      <c r="F57" s="902"/>
      <c r="G57" s="902"/>
      <c r="H57" s="902"/>
      <c r="I57" s="902"/>
      <c r="J57" s="902"/>
      <c r="K57" s="902"/>
      <c r="L57" s="902"/>
      <c r="M57" s="902"/>
      <c r="N57" s="902"/>
      <c r="O57" s="902"/>
      <c r="P57" s="902"/>
      <c r="Q57" s="690"/>
      <c r="R57" s="932" t="s">
        <v>270</v>
      </c>
      <c r="S57" s="927"/>
      <c r="AB57" s="916"/>
      <c r="AC57" s="916"/>
      <c r="AD57" s="916"/>
      <c r="AE57" s="916"/>
      <c r="AF57" s="916"/>
      <c r="AG57" s="916"/>
    </row>
    <row r="58" spans="1:33">
      <c r="A58" s="902"/>
      <c r="B58" s="908" t="s">
        <v>130</v>
      </c>
      <c r="C58" s="934" t="s">
        <v>1447</v>
      </c>
      <c r="D58" s="902"/>
      <c r="E58" s="902"/>
      <c r="F58" s="902"/>
      <c r="G58" s="902"/>
      <c r="H58" s="902"/>
      <c r="I58" s="902"/>
      <c r="J58" s="902"/>
      <c r="K58" s="902"/>
      <c r="L58" s="902"/>
      <c r="M58" s="902"/>
      <c r="N58" s="902"/>
      <c r="O58" s="902"/>
      <c r="P58" s="902"/>
      <c r="Q58" s="690"/>
      <c r="R58" s="932" t="s">
        <v>271</v>
      </c>
      <c r="S58" s="927"/>
    </row>
    <row r="59" spans="1:33">
      <c r="Q59" s="690"/>
      <c r="R59" s="932" t="s">
        <v>272</v>
      </c>
      <c r="S59" s="927"/>
    </row>
    <row r="60" spans="1:33">
      <c r="Q60" s="690"/>
      <c r="R60" s="932" t="s">
        <v>273</v>
      </c>
      <c r="S60" s="927"/>
    </row>
    <row r="61" spans="1:33">
      <c r="Q61" s="690"/>
      <c r="R61" s="932" t="s">
        <v>274</v>
      </c>
      <c r="S61" s="927"/>
    </row>
    <row r="62" spans="1:33">
      <c r="Q62" s="690"/>
      <c r="R62" s="932" t="s">
        <v>275</v>
      </c>
      <c r="S62" s="927"/>
    </row>
    <row r="63" spans="1:33">
      <c r="Q63" s="690"/>
    </row>
    <row r="64" spans="1:33">
      <c r="Q64" s="690"/>
      <c r="R64" s="894" t="s">
        <v>535</v>
      </c>
    </row>
    <row r="65" spans="17:18">
      <c r="Q65" s="690"/>
      <c r="R65" s="933" t="s">
        <v>1424</v>
      </c>
    </row>
    <row r="66" spans="17:18">
      <c r="Q66" s="690"/>
      <c r="R66" s="933" t="s">
        <v>1430</v>
      </c>
    </row>
    <row r="67" spans="17:18">
      <c r="Q67" s="690"/>
      <c r="R67" s="933" t="s">
        <v>1437</v>
      </c>
    </row>
    <row r="68" spans="17:18">
      <c r="Q68" s="690"/>
      <c r="R68" s="933" t="s">
        <v>1447</v>
      </c>
    </row>
    <row r="69" spans="17:18">
      <c r="Q69" s="690"/>
      <c r="R69" s="933" t="s">
        <v>1442</v>
      </c>
    </row>
  </sheetData>
  <mergeCells count="7">
    <mergeCell ref="C40:N40"/>
    <mergeCell ref="C51:N51"/>
    <mergeCell ref="R10:Y10"/>
    <mergeCell ref="R13:AC13"/>
    <mergeCell ref="C13:N13"/>
    <mergeCell ref="C22:N22"/>
    <mergeCell ref="C31:N31"/>
  </mergeCells>
  <dataValidations disablePrompts="1" count="2">
    <dataValidation type="list" allowBlank="1" showInputMessage="1" showErrorMessage="1" sqref="P12 P51" xr:uid="{00000000-0002-0000-1200-000000000000}">
      <formula1>choix</formula1>
    </dataValidation>
    <dataValidation type="list" allowBlank="1" showInputMessage="1" showErrorMessage="1" sqref="B32:B37 B52:B57 B13:B19 B23:B28 B41:B46" xr:uid="{00000000-0002-0000-1200-000001000000}">
      <formula1>Choix_capacité</formula1>
    </dataValidation>
  </dataValidations>
  <pageMargins left="0.7" right="0.7" top="0.75" bottom="0.75" header="0.3" footer="0.3"/>
  <pageSetup paperSize="9" scale="23"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tabColor theme="4"/>
    <pageSetUpPr fitToPage="1"/>
  </sheetPr>
  <dimension ref="A3:AA93"/>
  <sheetViews>
    <sheetView topLeftCell="D19" zoomScale="80" zoomScaleNormal="80" workbookViewId="0">
      <selection activeCell="S4" sqref="S4:AB37"/>
    </sheetView>
  </sheetViews>
  <sheetFormatPr baseColWidth="10" defaultRowHeight="15"/>
  <cols>
    <col min="2" max="2" width="13.6640625" customWidth="1"/>
    <col min="3" max="3" width="17.6640625" customWidth="1"/>
    <col min="14" max="14" width="6" customWidth="1"/>
    <col min="15" max="16" width="13.5" bestFit="1" customWidth="1"/>
    <col min="19" max="19" width="18.33203125" customWidth="1"/>
    <col min="20" max="20" width="15.6640625" customWidth="1"/>
    <col min="23" max="23" width="19.1640625" customWidth="1"/>
  </cols>
  <sheetData>
    <row r="3" spans="1:26" ht="16" thickBot="1"/>
    <row r="4" spans="1:26" ht="19">
      <c r="B4" s="272" t="s">
        <v>108</v>
      </c>
      <c r="C4" s="228" t="s">
        <v>126</v>
      </c>
      <c r="D4" s="229" t="s">
        <v>31</v>
      </c>
      <c r="E4" s="227" t="s">
        <v>155</v>
      </c>
      <c r="G4" s="242"/>
      <c r="S4" s="272" t="s">
        <v>108</v>
      </c>
      <c r="T4" s="228" t="s">
        <v>126</v>
      </c>
      <c r="U4" s="229" t="s">
        <v>31</v>
      </c>
      <c r="V4" s="671" t="s">
        <v>155</v>
      </c>
      <c r="W4" s="983"/>
    </row>
    <row r="5" spans="1:26">
      <c r="C5" s="230" t="s">
        <v>55</v>
      </c>
      <c r="D5" s="231">
        <v>3</v>
      </c>
      <c r="S5" s="983"/>
      <c r="T5" s="230" t="s">
        <v>55</v>
      </c>
      <c r="U5" s="231">
        <v>3</v>
      </c>
      <c r="V5" s="983"/>
      <c r="W5" s="983"/>
    </row>
    <row r="6" spans="1:26" ht="16" thickBot="1">
      <c r="C6" s="232" t="s">
        <v>62</v>
      </c>
      <c r="D6" s="252">
        <v>38</v>
      </c>
      <c r="S6" s="983"/>
      <c r="T6" s="232" t="s">
        <v>62</v>
      </c>
      <c r="U6" s="986">
        <v>38</v>
      </c>
      <c r="V6" s="983"/>
      <c r="W6" s="983"/>
    </row>
    <row r="7" spans="1:26" ht="49" thickBot="1">
      <c r="O7" s="320" t="s">
        <v>125</v>
      </c>
      <c r="P7" s="320" t="s">
        <v>408</v>
      </c>
    </row>
    <row r="8" spans="1:26" ht="17" thickBot="1">
      <c r="S8" s="1041" t="s">
        <v>567</v>
      </c>
      <c r="T8" s="1042"/>
      <c r="U8" s="1042"/>
      <c r="V8" s="1042"/>
      <c r="W8" s="1042"/>
      <c r="X8" s="1042"/>
      <c r="Y8" s="1042"/>
      <c r="Z8" s="1042"/>
    </row>
    <row r="9" spans="1:26" ht="17" thickBot="1">
      <c r="A9" s="624" t="s">
        <v>127</v>
      </c>
      <c r="B9" s="611"/>
      <c r="C9" s="1038" t="s">
        <v>124</v>
      </c>
      <c r="D9" s="1039"/>
      <c r="E9" s="1039"/>
      <c r="F9" s="1039"/>
      <c r="G9" s="1039"/>
      <c r="H9" s="1039"/>
      <c r="I9" s="1039"/>
      <c r="J9" s="1039"/>
      <c r="K9" s="1039"/>
      <c r="L9" s="1039"/>
      <c r="M9" s="1039"/>
      <c r="N9" s="1040"/>
      <c r="O9" s="613">
        <v>2</v>
      </c>
      <c r="P9" s="453" t="s">
        <v>407</v>
      </c>
      <c r="R9" s="619"/>
      <c r="S9" s="615"/>
      <c r="T9" s="608"/>
      <c r="U9" s="608"/>
      <c r="V9" s="607"/>
      <c r="W9" s="607"/>
      <c r="X9" s="607"/>
      <c r="Y9" s="607"/>
      <c r="Z9" s="607"/>
    </row>
    <row r="10" spans="1:26" ht="16">
      <c r="A10" s="626"/>
      <c r="B10" s="610" t="s">
        <v>410</v>
      </c>
      <c r="C10" s="715" t="s">
        <v>281</v>
      </c>
      <c r="D10" s="622"/>
      <c r="E10" s="622"/>
      <c r="F10" s="622"/>
      <c r="G10" s="622"/>
      <c r="H10" s="622"/>
      <c r="I10" s="622"/>
      <c r="J10" s="622"/>
      <c r="K10" s="622"/>
      <c r="L10" s="622"/>
      <c r="M10" s="622"/>
      <c r="N10" s="622"/>
      <c r="O10" s="617"/>
      <c r="P10" s="383"/>
      <c r="R10" s="619"/>
      <c r="S10" s="449" t="s">
        <v>784</v>
      </c>
      <c r="T10" s="608"/>
      <c r="U10" s="608"/>
      <c r="V10" s="607"/>
      <c r="W10" s="607"/>
      <c r="X10" s="607"/>
      <c r="Y10" s="607"/>
      <c r="Z10" s="607"/>
    </row>
    <row r="11" spans="1:26">
      <c r="A11" s="607"/>
      <c r="B11" s="614" t="s">
        <v>410</v>
      </c>
      <c r="C11" s="715" t="s">
        <v>282</v>
      </c>
      <c r="D11" s="607"/>
      <c r="E11" s="607"/>
      <c r="F11" s="607"/>
      <c r="G11" s="607"/>
      <c r="H11" s="607"/>
      <c r="I11" s="607"/>
      <c r="J11" s="607"/>
      <c r="K11" s="607"/>
      <c r="L11" s="607"/>
      <c r="M11" s="607"/>
      <c r="N11" s="607"/>
      <c r="O11" s="609"/>
      <c r="P11" s="616"/>
      <c r="R11" s="619"/>
      <c r="S11" s="421" t="s">
        <v>124</v>
      </c>
      <c r="T11" s="608"/>
      <c r="U11" s="608"/>
      <c r="V11" s="607"/>
      <c r="W11" s="607"/>
      <c r="X11" s="607"/>
      <c r="Y11" s="607"/>
      <c r="Z11" s="607"/>
    </row>
    <row r="12" spans="1:26">
      <c r="A12" s="607"/>
      <c r="B12" s="614" t="s">
        <v>411</v>
      </c>
      <c r="C12" s="607" t="s">
        <v>1118</v>
      </c>
      <c r="D12" s="607"/>
      <c r="E12" s="607"/>
      <c r="F12" s="607"/>
      <c r="G12" s="607"/>
      <c r="H12" s="607"/>
      <c r="I12" s="607"/>
      <c r="J12" s="607"/>
      <c r="K12" s="607"/>
      <c r="L12" s="607"/>
      <c r="M12" s="607"/>
      <c r="N12" s="607"/>
      <c r="O12" s="609"/>
      <c r="P12" s="616"/>
      <c r="R12" s="619"/>
      <c r="S12" s="628" t="s">
        <v>410</v>
      </c>
      <c r="T12" s="607" t="s">
        <v>281</v>
      </c>
      <c r="U12" s="608"/>
      <c r="V12" s="607"/>
      <c r="W12" s="607"/>
      <c r="X12" s="607"/>
      <c r="Y12" s="607"/>
      <c r="Z12" s="607"/>
    </row>
    <row r="13" spans="1:26">
      <c r="A13" s="607"/>
      <c r="B13" s="614" t="s">
        <v>411</v>
      </c>
      <c r="C13" s="607" t="s">
        <v>288</v>
      </c>
      <c r="D13" s="607"/>
      <c r="E13" s="607"/>
      <c r="F13" s="607"/>
      <c r="G13" s="607"/>
      <c r="H13" s="607"/>
      <c r="I13" s="607"/>
      <c r="J13" s="607"/>
      <c r="K13" s="607"/>
      <c r="L13" s="607"/>
      <c r="M13" s="607"/>
      <c r="N13" s="607"/>
      <c r="O13" s="607"/>
      <c r="P13" s="616"/>
      <c r="R13" s="619"/>
      <c r="S13" s="505" t="s">
        <v>410</v>
      </c>
      <c r="T13" s="607" t="s">
        <v>282</v>
      </c>
      <c r="U13" s="608"/>
      <c r="V13" s="607"/>
      <c r="W13" s="607"/>
      <c r="X13" s="607"/>
      <c r="Y13" s="607"/>
      <c r="Z13" s="607"/>
    </row>
    <row r="14" spans="1:26">
      <c r="A14" s="607"/>
      <c r="B14" s="614" t="s">
        <v>411</v>
      </c>
      <c r="C14" s="607" t="s">
        <v>1119</v>
      </c>
      <c r="D14" s="607"/>
      <c r="E14" s="607"/>
      <c r="F14" s="607"/>
      <c r="G14" s="607"/>
      <c r="H14" s="607"/>
      <c r="I14" s="607"/>
      <c r="J14" s="607"/>
      <c r="K14" s="607"/>
      <c r="L14" s="607"/>
      <c r="M14" s="607"/>
      <c r="N14" s="607"/>
      <c r="O14" s="607"/>
      <c r="P14" s="616"/>
      <c r="R14" s="619"/>
      <c r="S14" s="505" t="s">
        <v>411</v>
      </c>
      <c r="T14" s="607" t="s">
        <v>1118</v>
      </c>
      <c r="U14" s="608"/>
      <c r="V14" s="607"/>
      <c r="W14" s="607"/>
      <c r="X14" s="607"/>
      <c r="Y14" s="607"/>
      <c r="Z14" s="607"/>
    </row>
    <row r="15" spans="1:26">
      <c r="A15" s="607"/>
      <c r="B15" s="614" t="s">
        <v>130</v>
      </c>
      <c r="C15" s="607"/>
      <c r="D15" s="607"/>
      <c r="E15" s="607"/>
      <c r="F15" s="607"/>
      <c r="G15" s="607"/>
      <c r="H15" s="607"/>
      <c r="I15" s="607"/>
      <c r="J15" s="607"/>
      <c r="K15" s="607"/>
      <c r="L15" s="607"/>
      <c r="M15" s="607"/>
      <c r="N15" s="607"/>
      <c r="O15" s="607"/>
      <c r="P15" s="616"/>
      <c r="R15" s="619"/>
      <c r="S15" s="505" t="s">
        <v>411</v>
      </c>
      <c r="T15" s="607" t="s">
        <v>288</v>
      </c>
      <c r="U15" s="608"/>
      <c r="V15" s="607"/>
      <c r="W15" s="607"/>
      <c r="X15" s="607"/>
      <c r="Y15" s="607"/>
      <c r="Z15" s="607"/>
    </row>
    <row r="16" spans="1:26" ht="16" thickBot="1">
      <c r="A16" s="607"/>
      <c r="B16" s="607"/>
      <c r="C16" s="607"/>
      <c r="D16" s="607"/>
      <c r="E16" s="607"/>
      <c r="F16" s="607"/>
      <c r="G16" s="607"/>
      <c r="H16" s="607"/>
      <c r="I16" s="607"/>
      <c r="J16" s="607"/>
      <c r="K16" s="607"/>
      <c r="L16" s="607"/>
      <c r="M16" s="607"/>
      <c r="N16" s="607"/>
      <c r="O16" s="607"/>
      <c r="P16" s="616"/>
      <c r="R16" s="619"/>
      <c r="S16" s="505" t="s">
        <v>411</v>
      </c>
      <c r="T16" s="607" t="s">
        <v>1119</v>
      </c>
      <c r="U16" s="607"/>
      <c r="V16" s="607"/>
      <c r="W16" s="607"/>
      <c r="X16" s="607"/>
      <c r="Y16" s="607"/>
      <c r="Z16" s="607"/>
    </row>
    <row r="17" spans="1:27" ht="17" thickBot="1">
      <c r="A17" s="624" t="s">
        <v>128</v>
      </c>
      <c r="B17" s="611"/>
      <c r="C17" s="1038" t="s">
        <v>64</v>
      </c>
      <c r="D17" s="1039"/>
      <c r="E17" s="1039"/>
      <c r="F17" s="1039"/>
      <c r="G17" s="1039"/>
      <c r="H17" s="1039"/>
      <c r="I17" s="1039"/>
      <c r="J17" s="1039"/>
      <c r="K17" s="1039"/>
      <c r="L17" s="1039"/>
      <c r="M17" s="1039"/>
      <c r="N17" s="1040"/>
      <c r="O17" s="613">
        <v>2</v>
      </c>
      <c r="P17" s="453" t="s">
        <v>407</v>
      </c>
      <c r="R17" s="619"/>
      <c r="X17" s="607"/>
      <c r="Y17" s="607"/>
      <c r="Z17" s="607"/>
    </row>
    <row r="18" spans="1:27">
      <c r="A18" s="607"/>
      <c r="B18" s="614" t="s">
        <v>410</v>
      </c>
      <c r="C18" s="715" t="s">
        <v>281</v>
      </c>
      <c r="D18" s="607"/>
      <c r="E18" s="607"/>
      <c r="F18" s="607"/>
      <c r="G18" s="607"/>
      <c r="H18" s="607"/>
      <c r="I18" s="607"/>
      <c r="J18" s="607"/>
      <c r="K18" s="607"/>
      <c r="L18" s="607"/>
      <c r="M18" s="607"/>
      <c r="N18" s="607"/>
      <c r="O18" s="609"/>
      <c r="P18" s="616"/>
      <c r="R18" s="619"/>
      <c r="S18" s="422" t="s">
        <v>64</v>
      </c>
      <c r="T18" s="615"/>
      <c r="U18" s="615"/>
      <c r="V18" s="607"/>
      <c r="W18" s="607"/>
      <c r="X18" s="607"/>
      <c r="Y18" s="607"/>
      <c r="Z18" s="607"/>
    </row>
    <row r="19" spans="1:27">
      <c r="A19" s="607"/>
      <c r="B19" s="614" t="s">
        <v>410</v>
      </c>
      <c r="C19" s="715" t="s">
        <v>282</v>
      </c>
      <c r="D19" s="607"/>
      <c r="E19" s="607"/>
      <c r="F19" s="607"/>
      <c r="G19" s="607"/>
      <c r="H19" s="607"/>
      <c r="I19" s="607"/>
      <c r="J19" s="607"/>
      <c r="K19" s="607"/>
      <c r="L19" s="607"/>
      <c r="M19" s="607"/>
      <c r="N19" s="607"/>
      <c r="O19" s="609"/>
      <c r="P19" s="616"/>
      <c r="R19" s="619"/>
      <c r="S19" s="505" t="s">
        <v>410</v>
      </c>
      <c r="T19" s="607" t="s">
        <v>281</v>
      </c>
      <c r="U19" s="607"/>
      <c r="V19" s="607"/>
      <c r="W19" s="607"/>
      <c r="X19" s="607"/>
      <c r="Y19" s="607"/>
      <c r="Z19" s="607"/>
    </row>
    <row r="20" spans="1:27">
      <c r="A20" s="607"/>
      <c r="B20" s="614" t="s">
        <v>411</v>
      </c>
      <c r="C20" s="607" t="s">
        <v>1120</v>
      </c>
      <c r="D20" s="607"/>
      <c r="E20" s="607"/>
      <c r="F20" s="607"/>
      <c r="G20" s="607"/>
      <c r="H20" s="607"/>
      <c r="I20" s="607"/>
      <c r="J20" s="607"/>
      <c r="K20" s="607"/>
      <c r="L20" s="607"/>
      <c r="M20" s="607"/>
      <c r="N20" s="607"/>
      <c r="O20" s="609"/>
      <c r="P20" s="616"/>
      <c r="R20" s="619"/>
      <c r="S20" s="505" t="s">
        <v>410</v>
      </c>
      <c r="T20" s="607" t="s">
        <v>282</v>
      </c>
      <c r="U20" s="607"/>
      <c r="V20" s="607"/>
      <c r="W20" s="607"/>
      <c r="X20" s="607"/>
      <c r="Y20" s="607"/>
      <c r="Z20" s="607"/>
    </row>
    <row r="21" spans="1:27" ht="15.75" customHeight="1">
      <c r="A21" s="607"/>
      <c r="B21" s="614" t="s">
        <v>411</v>
      </c>
      <c r="C21" s="607" t="s">
        <v>1121</v>
      </c>
      <c r="D21" s="607"/>
      <c r="E21" s="607"/>
      <c r="F21" s="607"/>
      <c r="G21" s="607"/>
      <c r="H21" s="607"/>
      <c r="I21" s="607"/>
      <c r="J21" s="607"/>
      <c r="K21" s="607"/>
      <c r="L21" s="607"/>
      <c r="M21" s="607"/>
      <c r="N21" s="607"/>
      <c r="O21" s="607"/>
      <c r="P21" s="616"/>
      <c r="R21" s="619"/>
      <c r="S21" s="505" t="s">
        <v>411</v>
      </c>
      <c r="T21" s="607" t="s">
        <v>1120</v>
      </c>
      <c r="U21" s="607"/>
      <c r="V21" s="607"/>
      <c r="W21" s="607"/>
      <c r="X21" s="607"/>
      <c r="Y21" s="607"/>
      <c r="Z21" s="607"/>
    </row>
    <row r="22" spans="1:27" ht="15.75" customHeight="1">
      <c r="A22" s="607"/>
      <c r="B22" s="614" t="s">
        <v>130</v>
      </c>
      <c r="C22" s="607"/>
      <c r="D22" s="607"/>
      <c r="E22" s="607"/>
      <c r="F22" s="607"/>
      <c r="G22" s="607"/>
      <c r="H22" s="607"/>
      <c r="I22" s="607"/>
      <c r="J22" s="607"/>
      <c r="K22" s="607"/>
      <c r="L22" s="607"/>
      <c r="M22" s="607"/>
      <c r="N22" s="607"/>
      <c r="O22" s="607"/>
      <c r="P22" s="616"/>
      <c r="R22" s="619"/>
      <c r="S22" s="505" t="s">
        <v>411</v>
      </c>
      <c r="T22" s="607" t="s">
        <v>1121</v>
      </c>
      <c r="U22" s="607"/>
      <c r="V22" s="607"/>
      <c r="W22" s="607"/>
      <c r="X22" s="607"/>
      <c r="Y22" s="607"/>
      <c r="Z22" s="607"/>
    </row>
    <row r="23" spans="1:27" ht="15" customHeight="1">
      <c r="A23" s="607"/>
      <c r="B23" s="614"/>
      <c r="C23" s="607"/>
      <c r="D23" s="607"/>
      <c r="E23" s="607"/>
      <c r="F23" s="607"/>
      <c r="G23" s="607"/>
      <c r="H23" s="607"/>
      <c r="I23" s="607"/>
      <c r="J23" s="607"/>
      <c r="K23" s="607"/>
      <c r="L23" s="607"/>
      <c r="M23" s="607"/>
      <c r="N23" s="607"/>
      <c r="O23" s="607"/>
      <c r="P23" s="616"/>
      <c r="R23" s="619"/>
      <c r="S23" s="620"/>
      <c r="T23" s="607"/>
      <c r="U23" s="607"/>
      <c r="V23" s="607"/>
      <c r="W23" s="607"/>
      <c r="X23" s="607"/>
      <c r="Y23" s="607"/>
      <c r="Z23" s="607"/>
    </row>
    <row r="24" spans="1:27" ht="15" customHeight="1">
      <c r="A24" s="371" t="s">
        <v>1136</v>
      </c>
      <c r="B24" s="614"/>
      <c r="C24" s="607"/>
      <c r="D24" s="607"/>
      <c r="E24" s="607"/>
      <c r="F24" s="607"/>
      <c r="G24" s="607"/>
      <c r="H24" s="607"/>
      <c r="I24" s="607"/>
      <c r="J24" s="607"/>
      <c r="K24" s="607"/>
      <c r="L24" s="607"/>
      <c r="M24" s="607"/>
      <c r="N24" s="607"/>
      <c r="O24" s="607"/>
      <c r="P24" s="616"/>
      <c r="R24" s="619"/>
      <c r="S24" s="615"/>
      <c r="T24" s="607"/>
      <c r="U24" s="607"/>
      <c r="V24" s="607"/>
      <c r="W24" s="607"/>
      <c r="X24" s="607"/>
      <c r="Y24" s="607"/>
      <c r="Z24" s="607"/>
      <c r="AA24" s="280"/>
    </row>
    <row r="25" spans="1:27" ht="17" thickBot="1">
      <c r="A25" s="607"/>
      <c r="B25" s="607"/>
      <c r="C25" s="607"/>
      <c r="D25" s="607"/>
      <c r="E25" s="607"/>
      <c r="F25" s="607"/>
      <c r="G25" s="607"/>
      <c r="H25" s="607"/>
      <c r="I25" s="607"/>
      <c r="J25" s="607"/>
      <c r="K25" s="607"/>
      <c r="L25" s="607"/>
      <c r="M25" s="607"/>
      <c r="N25" s="607"/>
      <c r="O25" s="607"/>
      <c r="P25" s="616"/>
      <c r="R25" s="619"/>
      <c r="S25" s="448" t="s">
        <v>186</v>
      </c>
      <c r="T25" s="607"/>
      <c r="U25" s="607"/>
      <c r="V25" s="607"/>
      <c r="W25" s="607"/>
      <c r="X25" s="607"/>
      <c r="Y25" s="607"/>
      <c r="Z25" s="607"/>
    </row>
    <row r="26" spans="1:27" ht="17" thickBot="1">
      <c r="A26" s="624" t="s">
        <v>127</v>
      </c>
      <c r="B26" s="611"/>
      <c r="C26" s="1038" t="s">
        <v>1122</v>
      </c>
      <c r="D26" s="1039"/>
      <c r="E26" s="1039"/>
      <c r="F26" s="1039"/>
      <c r="G26" s="1039"/>
      <c r="H26" s="1039"/>
      <c r="I26" s="1039"/>
      <c r="J26" s="1039"/>
      <c r="K26" s="1039"/>
      <c r="L26" s="1039"/>
      <c r="M26" s="1039"/>
      <c r="N26" s="1040"/>
      <c r="O26" s="613">
        <v>1</v>
      </c>
      <c r="P26" s="453" t="s">
        <v>407</v>
      </c>
      <c r="R26" s="619"/>
      <c r="S26" s="618" t="s">
        <v>285</v>
      </c>
      <c r="T26" s="607"/>
      <c r="U26" s="607"/>
      <c r="V26" s="607"/>
      <c r="W26" s="607"/>
      <c r="X26" s="607"/>
      <c r="Y26" s="607"/>
      <c r="Z26" s="607"/>
    </row>
    <row r="27" spans="1:27">
      <c r="A27" s="607"/>
      <c r="B27" s="614" t="s">
        <v>410</v>
      </c>
      <c r="C27" s="715" t="s">
        <v>279</v>
      </c>
      <c r="D27" s="607"/>
      <c r="E27" s="607"/>
      <c r="F27" s="607"/>
      <c r="G27" s="607"/>
      <c r="H27" s="607"/>
      <c r="I27" s="607"/>
      <c r="J27" s="607"/>
      <c r="K27" s="607"/>
      <c r="L27" s="607"/>
      <c r="M27" s="607"/>
      <c r="N27" s="607"/>
      <c r="O27" s="609"/>
      <c r="P27" s="616"/>
      <c r="R27" s="619"/>
      <c r="S27" s="618" t="s">
        <v>286</v>
      </c>
      <c r="T27" s="607"/>
      <c r="U27" s="607"/>
      <c r="V27" s="607"/>
      <c r="W27" s="607"/>
      <c r="X27" s="607"/>
      <c r="Y27" s="607"/>
      <c r="Z27" s="607"/>
    </row>
    <row r="28" spans="1:27">
      <c r="A28" s="607"/>
      <c r="B28" s="614" t="s">
        <v>410</v>
      </c>
      <c r="C28" s="715" t="s">
        <v>1123</v>
      </c>
      <c r="D28" s="607"/>
      <c r="E28" s="607"/>
      <c r="F28" s="607"/>
      <c r="G28" s="607"/>
      <c r="H28" s="607"/>
      <c r="I28" s="607"/>
      <c r="J28" s="607"/>
      <c r="K28" s="607"/>
      <c r="L28" s="607"/>
      <c r="M28" s="607"/>
      <c r="N28" s="607"/>
      <c r="O28" s="609"/>
      <c r="P28" s="607"/>
      <c r="R28" s="619"/>
      <c r="S28" s="618" t="s">
        <v>287</v>
      </c>
      <c r="T28" s="607"/>
      <c r="U28" s="607"/>
      <c r="V28" s="607"/>
      <c r="W28" s="607"/>
      <c r="X28" s="607"/>
      <c r="Y28" s="607"/>
      <c r="Z28" s="607"/>
    </row>
    <row r="29" spans="1:27">
      <c r="A29" s="607"/>
      <c r="B29" s="614" t="s">
        <v>411</v>
      </c>
      <c r="C29" s="607" t="s">
        <v>1124</v>
      </c>
      <c r="D29" s="607"/>
      <c r="E29" s="607"/>
      <c r="F29" s="607"/>
      <c r="G29" s="607"/>
      <c r="H29" s="607"/>
      <c r="I29" s="607"/>
      <c r="J29" s="607"/>
      <c r="K29" s="607"/>
      <c r="L29" s="607"/>
      <c r="M29" s="607"/>
      <c r="N29" s="607"/>
      <c r="O29" s="607"/>
      <c r="P29" s="607"/>
      <c r="R29" s="619"/>
      <c r="S29" s="618" t="s">
        <v>288</v>
      </c>
      <c r="T29" s="607"/>
      <c r="U29" s="607"/>
      <c r="V29" s="607"/>
      <c r="W29" s="607"/>
      <c r="X29" s="607"/>
      <c r="Y29" s="607"/>
      <c r="Z29" s="607"/>
    </row>
    <row r="30" spans="1:27">
      <c r="A30" s="607"/>
      <c r="B30" s="614" t="s">
        <v>411</v>
      </c>
      <c r="C30" s="607" t="s">
        <v>1125</v>
      </c>
      <c r="D30" s="607"/>
      <c r="E30" s="607"/>
      <c r="F30" s="607"/>
      <c r="G30" s="607"/>
      <c r="H30" s="607"/>
      <c r="I30" s="607"/>
      <c r="J30" s="607"/>
      <c r="K30" s="607"/>
      <c r="L30" s="607"/>
      <c r="M30" s="607"/>
      <c r="N30" s="607"/>
      <c r="O30" s="607"/>
      <c r="P30" s="607"/>
      <c r="R30" s="619"/>
      <c r="S30" s="618" t="s">
        <v>289</v>
      </c>
      <c r="T30" s="607"/>
      <c r="U30" s="607"/>
      <c r="V30" s="607"/>
      <c r="W30" s="607"/>
      <c r="X30" s="607"/>
      <c r="Y30" s="607"/>
      <c r="Z30" s="607"/>
    </row>
    <row r="31" spans="1:27">
      <c r="A31" s="607"/>
      <c r="B31" s="614" t="s">
        <v>411</v>
      </c>
      <c r="C31" s="607" t="s">
        <v>1126</v>
      </c>
      <c r="D31" s="607"/>
      <c r="E31" s="607"/>
      <c r="F31" s="607"/>
      <c r="G31" s="607"/>
      <c r="H31" s="607"/>
      <c r="I31" s="607"/>
      <c r="J31" s="607"/>
      <c r="K31" s="607"/>
      <c r="L31" s="607"/>
      <c r="M31" s="607"/>
      <c r="N31" s="607"/>
      <c r="O31" s="607"/>
      <c r="P31" s="607"/>
      <c r="R31" s="619"/>
      <c r="S31" s="618" t="s">
        <v>290</v>
      </c>
      <c r="T31" s="607"/>
      <c r="U31" s="607"/>
      <c r="V31" s="607"/>
      <c r="W31" s="607"/>
      <c r="X31" s="607"/>
      <c r="Y31" s="607"/>
      <c r="Z31" s="607"/>
    </row>
    <row r="32" spans="1:27">
      <c r="A32" s="607"/>
      <c r="B32" s="614" t="s">
        <v>411</v>
      </c>
      <c r="C32" s="607" t="s">
        <v>1127</v>
      </c>
      <c r="D32" s="607"/>
      <c r="E32" s="607"/>
      <c r="F32" s="607"/>
      <c r="G32" s="607"/>
      <c r="H32" s="607"/>
      <c r="I32" s="607"/>
      <c r="J32" s="607"/>
      <c r="K32" s="607"/>
      <c r="L32" s="607"/>
      <c r="M32" s="607"/>
      <c r="N32" s="607"/>
      <c r="O32" s="607"/>
      <c r="P32" s="607"/>
      <c r="R32" s="629"/>
      <c r="S32" s="618" t="s">
        <v>291</v>
      </c>
      <c r="T32" s="607"/>
      <c r="U32" s="607"/>
      <c r="V32" s="607"/>
      <c r="W32" s="607"/>
      <c r="X32" s="607"/>
      <c r="Y32" s="607"/>
      <c r="Z32" s="607"/>
    </row>
    <row r="33" spans="1:26">
      <c r="A33" s="607"/>
      <c r="B33" s="614" t="s">
        <v>411</v>
      </c>
      <c r="C33" s="607" t="s">
        <v>1128</v>
      </c>
      <c r="D33" s="607"/>
      <c r="E33" s="607"/>
      <c r="F33" s="607"/>
      <c r="G33" s="607"/>
      <c r="H33" s="607"/>
      <c r="I33" s="607"/>
      <c r="J33" s="607"/>
      <c r="K33" s="607"/>
      <c r="L33" s="607"/>
      <c r="M33" s="607"/>
      <c r="N33" s="607"/>
      <c r="O33" s="607"/>
      <c r="P33" s="607"/>
      <c r="R33" s="619"/>
      <c r="S33" s="618" t="s">
        <v>292</v>
      </c>
      <c r="T33" s="607"/>
      <c r="U33" s="607"/>
      <c r="V33" s="607"/>
      <c r="W33" s="607"/>
      <c r="X33" s="607"/>
      <c r="Y33" s="607"/>
      <c r="Z33" s="607"/>
    </row>
    <row r="34" spans="1:26">
      <c r="A34" s="607"/>
      <c r="B34" s="614" t="s">
        <v>411</v>
      </c>
      <c r="C34" s="607" t="s">
        <v>1129</v>
      </c>
      <c r="D34" s="607"/>
      <c r="E34" s="607"/>
      <c r="F34" s="607"/>
      <c r="G34" s="607"/>
      <c r="H34" s="607"/>
      <c r="I34" s="607"/>
      <c r="J34" s="607"/>
      <c r="K34" s="607"/>
      <c r="L34" s="607"/>
      <c r="M34" s="607"/>
      <c r="N34" s="607"/>
      <c r="O34" s="607"/>
      <c r="P34" s="607"/>
      <c r="R34" s="619"/>
      <c r="S34" s="618" t="s">
        <v>293</v>
      </c>
      <c r="T34" s="607"/>
      <c r="U34" s="607"/>
      <c r="V34" s="607"/>
      <c r="W34" s="607"/>
      <c r="X34" s="607"/>
      <c r="Y34" s="607"/>
      <c r="Z34" s="607"/>
    </row>
    <row r="35" spans="1:26">
      <c r="A35" s="607"/>
      <c r="B35" s="614" t="s">
        <v>411</v>
      </c>
      <c r="C35" s="607" t="s">
        <v>1118</v>
      </c>
      <c r="D35" s="607"/>
      <c r="E35" s="607"/>
      <c r="F35" s="607"/>
      <c r="G35" s="607"/>
      <c r="H35" s="607"/>
      <c r="I35" s="607"/>
      <c r="J35" s="607"/>
      <c r="K35" s="607"/>
      <c r="L35" s="607"/>
      <c r="M35" s="607"/>
      <c r="N35" s="607"/>
      <c r="O35" s="607"/>
      <c r="P35" s="607"/>
      <c r="R35" s="604"/>
      <c r="S35" s="618" t="s">
        <v>294</v>
      </c>
      <c r="T35" s="607"/>
      <c r="U35" s="607"/>
      <c r="V35" s="607"/>
      <c r="W35" s="607"/>
      <c r="X35" s="607"/>
      <c r="Y35" s="607"/>
      <c r="Z35" s="607"/>
    </row>
    <row r="36" spans="1:26">
      <c r="A36" s="607"/>
      <c r="B36" s="614" t="s">
        <v>411</v>
      </c>
      <c r="C36" s="607" t="s">
        <v>1119</v>
      </c>
      <c r="D36" s="607"/>
      <c r="E36" s="607"/>
      <c r="F36" s="607"/>
      <c r="G36" s="607"/>
      <c r="H36" s="607"/>
      <c r="I36" s="607"/>
      <c r="J36" s="607"/>
      <c r="K36" s="607"/>
      <c r="L36" s="607"/>
      <c r="M36" s="607"/>
      <c r="N36" s="607"/>
      <c r="O36" s="607"/>
      <c r="P36" s="607"/>
      <c r="R36" s="604"/>
      <c r="S36" s="618" t="s">
        <v>295</v>
      </c>
      <c r="T36" s="607"/>
      <c r="U36" s="607"/>
      <c r="V36" s="607"/>
      <c r="W36" s="607"/>
      <c r="X36" s="607"/>
      <c r="Y36" s="607"/>
      <c r="Z36" s="607"/>
    </row>
    <row r="37" spans="1:26">
      <c r="A37" s="607"/>
      <c r="B37" s="607"/>
      <c r="C37" s="607"/>
      <c r="D37" s="607"/>
      <c r="E37" s="607"/>
      <c r="F37" s="607"/>
      <c r="G37" s="607"/>
      <c r="H37" s="607"/>
      <c r="I37" s="607"/>
      <c r="J37" s="607"/>
      <c r="K37" s="607"/>
      <c r="L37" s="607"/>
      <c r="M37" s="607"/>
      <c r="N37" s="607"/>
      <c r="O37" s="607"/>
      <c r="P37" s="607"/>
      <c r="R37" s="604"/>
      <c r="S37" s="618" t="s">
        <v>296</v>
      </c>
      <c r="T37" s="607"/>
      <c r="U37" s="607"/>
      <c r="V37" s="607"/>
      <c r="W37" s="607"/>
      <c r="X37" s="607"/>
      <c r="Y37" s="607"/>
      <c r="Z37" s="607"/>
    </row>
    <row r="38" spans="1:26" ht="16" thickBot="1">
      <c r="A38" s="607"/>
      <c r="B38" s="607"/>
      <c r="C38" s="607"/>
      <c r="D38" s="607"/>
      <c r="E38" s="607"/>
      <c r="F38" s="607"/>
      <c r="G38" s="607"/>
      <c r="H38" s="607"/>
      <c r="I38" s="607"/>
      <c r="J38" s="607"/>
      <c r="K38" s="607"/>
      <c r="L38" s="607"/>
      <c r="M38" s="607"/>
      <c r="N38" s="607"/>
      <c r="O38" s="607"/>
      <c r="P38" s="607"/>
      <c r="R38" s="619"/>
      <c r="S38" s="495"/>
      <c r="T38" s="607"/>
      <c r="U38" s="607"/>
      <c r="V38" s="607"/>
      <c r="W38" s="607"/>
      <c r="X38" s="607"/>
      <c r="Y38" s="607"/>
      <c r="Z38" s="607"/>
    </row>
    <row r="39" spans="1:26" ht="17" thickBot="1">
      <c r="A39" s="624" t="s">
        <v>128</v>
      </c>
      <c r="B39" s="611"/>
      <c r="C39" s="1038" t="s">
        <v>1130</v>
      </c>
      <c r="D39" s="1039"/>
      <c r="E39" s="1039"/>
      <c r="F39" s="1039"/>
      <c r="G39" s="1039"/>
      <c r="H39" s="1039"/>
      <c r="I39" s="1039"/>
      <c r="J39" s="1039"/>
      <c r="K39" s="1039"/>
      <c r="L39" s="1039"/>
      <c r="M39" s="1039"/>
      <c r="N39" s="1039"/>
      <c r="O39" s="453">
        <v>2</v>
      </c>
      <c r="P39" s="625" t="s">
        <v>407</v>
      </c>
      <c r="Q39" s="243"/>
      <c r="R39" s="619"/>
      <c r="S39" s="497" t="s">
        <v>535</v>
      </c>
      <c r="T39" s="607"/>
      <c r="U39" s="607"/>
      <c r="V39" s="607"/>
      <c r="W39" s="607"/>
      <c r="X39" s="607"/>
      <c r="Y39" s="607"/>
      <c r="Z39" s="607"/>
    </row>
    <row r="40" spans="1:26">
      <c r="A40" s="607"/>
      <c r="B40" s="614" t="s">
        <v>410</v>
      </c>
      <c r="C40" s="715" t="s">
        <v>279</v>
      </c>
      <c r="D40" s="607"/>
      <c r="E40" s="607"/>
      <c r="F40" s="607"/>
      <c r="G40" s="607"/>
      <c r="H40" s="607"/>
      <c r="I40" s="607"/>
      <c r="J40" s="607"/>
      <c r="K40" s="607"/>
      <c r="L40" s="607"/>
      <c r="M40" s="607"/>
      <c r="N40" s="607"/>
      <c r="O40" s="616"/>
      <c r="P40" s="616"/>
      <c r="Q40" s="245"/>
      <c r="R40" s="629"/>
      <c r="S40" s="607"/>
      <c r="T40" s="607"/>
      <c r="U40" s="607"/>
      <c r="V40" s="607"/>
      <c r="W40" s="607"/>
      <c r="X40" s="607"/>
      <c r="Y40" s="607"/>
    </row>
    <row r="41" spans="1:26">
      <c r="A41" s="607"/>
      <c r="B41" s="614" t="s">
        <v>410</v>
      </c>
      <c r="C41" s="715" t="s">
        <v>1123</v>
      </c>
      <c r="D41" s="607"/>
      <c r="E41" s="607"/>
      <c r="F41" s="607"/>
      <c r="G41" s="607"/>
      <c r="H41" s="607"/>
      <c r="I41" s="607"/>
      <c r="J41" s="607"/>
      <c r="K41" s="607"/>
      <c r="L41" s="607"/>
      <c r="M41" s="607"/>
      <c r="N41" s="607"/>
      <c r="O41" s="616"/>
      <c r="P41" s="616"/>
      <c r="R41" s="604"/>
      <c r="S41" s="607"/>
      <c r="T41" s="607"/>
      <c r="U41" s="607"/>
      <c r="V41" s="607"/>
      <c r="W41" s="607"/>
      <c r="X41" s="607"/>
      <c r="Y41" s="607"/>
    </row>
    <row r="42" spans="1:26">
      <c r="A42" s="607"/>
      <c r="B42" s="614" t="s">
        <v>411</v>
      </c>
      <c r="C42" s="607" t="s">
        <v>1131</v>
      </c>
      <c r="D42" s="607"/>
      <c r="E42" s="607"/>
      <c r="F42" s="607"/>
      <c r="G42" s="607"/>
      <c r="H42" s="607"/>
      <c r="I42" s="607"/>
      <c r="J42" s="607"/>
      <c r="K42" s="607"/>
      <c r="L42" s="607"/>
      <c r="M42" s="607"/>
      <c r="N42" s="607"/>
      <c r="O42" s="616"/>
      <c r="P42" s="616"/>
      <c r="R42" s="243"/>
      <c r="T42" s="607"/>
      <c r="U42" s="607"/>
      <c r="V42" s="607"/>
      <c r="W42" s="607"/>
      <c r="X42" s="607"/>
      <c r="Y42" s="607"/>
      <c r="Z42" s="607"/>
    </row>
    <row r="43" spans="1:26">
      <c r="A43" s="607"/>
      <c r="B43" s="614" t="s">
        <v>411</v>
      </c>
      <c r="C43" s="607" t="s">
        <v>1126</v>
      </c>
      <c r="D43" s="607"/>
      <c r="E43" s="607"/>
      <c r="F43" s="607"/>
      <c r="G43" s="607"/>
      <c r="H43" s="607"/>
      <c r="I43" s="607"/>
      <c r="J43" s="607"/>
      <c r="K43" s="607"/>
      <c r="L43" s="607"/>
      <c r="M43" s="607"/>
      <c r="N43" s="607"/>
      <c r="O43" s="616"/>
      <c r="P43" s="616"/>
      <c r="R43" s="243"/>
      <c r="T43" s="607"/>
      <c r="U43" s="607"/>
      <c r="V43" s="607"/>
      <c r="W43" s="607"/>
      <c r="X43" s="607"/>
      <c r="Y43" s="607"/>
      <c r="Z43" s="607"/>
    </row>
    <row r="44" spans="1:26">
      <c r="A44" s="607"/>
      <c r="B44" s="614" t="s">
        <v>411</v>
      </c>
      <c r="C44" s="607" t="s">
        <v>1127</v>
      </c>
      <c r="D44" s="607"/>
      <c r="E44" s="607"/>
      <c r="F44" s="607"/>
      <c r="G44" s="607"/>
      <c r="H44" s="607"/>
      <c r="I44" s="607"/>
      <c r="J44" s="607"/>
      <c r="K44" s="607"/>
      <c r="L44" s="607"/>
      <c r="M44" s="607"/>
      <c r="N44" s="607"/>
      <c r="O44" s="616"/>
      <c r="P44" s="616"/>
      <c r="R44" s="243"/>
      <c r="T44" s="607"/>
      <c r="U44" s="607"/>
      <c r="V44" s="607"/>
      <c r="W44" s="607"/>
      <c r="X44" s="607"/>
      <c r="Y44" s="607"/>
      <c r="Z44" s="607"/>
    </row>
    <row r="45" spans="1:26">
      <c r="A45" s="607"/>
      <c r="B45" s="614" t="s">
        <v>411</v>
      </c>
      <c r="C45" s="607" t="s">
        <v>1129</v>
      </c>
      <c r="D45" s="607"/>
      <c r="E45" s="607"/>
      <c r="F45" s="607"/>
      <c r="G45" s="607"/>
      <c r="H45" s="607"/>
      <c r="I45" s="607"/>
      <c r="J45" s="607"/>
      <c r="K45" s="607"/>
      <c r="L45" s="607"/>
      <c r="M45" s="607"/>
      <c r="N45" s="607"/>
      <c r="O45" s="616"/>
      <c r="P45" s="616"/>
      <c r="R45" s="243"/>
      <c r="T45" s="607"/>
      <c r="U45" s="607"/>
      <c r="V45" s="607"/>
      <c r="W45" s="607"/>
    </row>
    <row r="46" spans="1:26">
      <c r="A46" s="607"/>
      <c r="B46" s="614" t="s">
        <v>411</v>
      </c>
      <c r="C46" s="607" t="s">
        <v>1118</v>
      </c>
      <c r="D46" s="607"/>
      <c r="E46" s="607"/>
      <c r="F46" s="607"/>
      <c r="G46" s="607"/>
      <c r="H46" s="607"/>
      <c r="I46" s="607"/>
      <c r="J46" s="607"/>
      <c r="K46" s="607"/>
      <c r="L46" s="607"/>
      <c r="M46" s="607"/>
      <c r="N46" s="607"/>
      <c r="O46" s="616"/>
      <c r="P46" s="616"/>
      <c r="R46" s="243"/>
    </row>
    <row r="47" spans="1:26">
      <c r="A47" s="607"/>
      <c r="B47" s="607"/>
      <c r="C47" s="607"/>
      <c r="D47" s="607"/>
      <c r="E47" s="607"/>
      <c r="F47" s="607"/>
      <c r="G47" s="607"/>
      <c r="H47" s="607"/>
      <c r="I47" s="607"/>
      <c r="J47" s="607"/>
      <c r="K47" s="607"/>
      <c r="L47" s="607"/>
      <c r="M47" s="607"/>
      <c r="N47" s="607"/>
      <c r="O47" s="616"/>
      <c r="P47" s="616"/>
      <c r="R47" s="244"/>
    </row>
    <row r="48" spans="1:26" ht="16" thickBot="1">
      <c r="A48" s="607"/>
      <c r="B48" s="607"/>
      <c r="C48" s="607"/>
      <c r="D48" s="607"/>
      <c r="E48" s="607"/>
      <c r="F48" s="607"/>
      <c r="G48" s="607"/>
      <c r="H48" s="607"/>
      <c r="I48" s="607"/>
      <c r="J48" s="607"/>
      <c r="K48" s="607"/>
      <c r="L48" s="607"/>
      <c r="M48" s="607"/>
      <c r="N48" s="607"/>
      <c r="O48" s="616"/>
      <c r="P48" s="616"/>
    </row>
    <row r="49" spans="1:16" ht="17" thickBot="1">
      <c r="A49" s="624" t="s">
        <v>129</v>
      </c>
      <c r="B49" s="611"/>
      <c r="C49" s="1038" t="s">
        <v>1132</v>
      </c>
      <c r="D49" s="1039"/>
      <c r="E49" s="1039"/>
      <c r="F49" s="1039"/>
      <c r="G49" s="1039"/>
      <c r="H49" s="1039"/>
      <c r="I49" s="1039"/>
      <c r="J49" s="1039"/>
      <c r="K49" s="1039"/>
      <c r="L49" s="1039"/>
      <c r="M49" s="1039"/>
      <c r="N49" s="1040"/>
      <c r="O49" s="627">
        <v>2</v>
      </c>
      <c r="P49" s="453" t="s">
        <v>407</v>
      </c>
    </row>
    <row r="50" spans="1:16">
      <c r="A50" s="607"/>
      <c r="B50" s="614" t="s">
        <v>410</v>
      </c>
      <c r="C50" s="715" t="s">
        <v>281</v>
      </c>
      <c r="D50" s="607"/>
      <c r="E50" s="607"/>
      <c r="F50" s="607"/>
      <c r="G50" s="607"/>
      <c r="H50" s="607"/>
      <c r="I50" s="607"/>
      <c r="J50" s="607"/>
      <c r="K50" s="607"/>
      <c r="L50" s="607"/>
      <c r="M50" s="607"/>
      <c r="N50" s="607"/>
      <c r="O50" s="616"/>
      <c r="P50" s="616"/>
    </row>
    <row r="51" spans="1:16">
      <c r="A51" s="607"/>
      <c r="B51" s="614" t="s">
        <v>410</v>
      </c>
      <c r="C51" s="715" t="s">
        <v>282</v>
      </c>
      <c r="D51" s="607"/>
      <c r="E51" s="607"/>
      <c r="F51" s="607"/>
      <c r="G51" s="607"/>
      <c r="H51" s="607"/>
      <c r="I51" s="607"/>
      <c r="J51" s="607"/>
      <c r="K51" s="607"/>
      <c r="L51" s="607"/>
      <c r="M51" s="607"/>
      <c r="N51" s="607"/>
      <c r="O51" s="616"/>
      <c r="P51" s="616"/>
    </row>
    <row r="52" spans="1:16">
      <c r="A52" s="607"/>
      <c r="B52" s="614" t="s">
        <v>411</v>
      </c>
      <c r="C52" s="607" t="s">
        <v>1125</v>
      </c>
      <c r="D52" s="607"/>
      <c r="E52" s="607"/>
      <c r="F52" s="607"/>
      <c r="G52" s="607"/>
      <c r="H52" s="607"/>
      <c r="I52" s="607"/>
      <c r="J52" s="607"/>
      <c r="K52" s="607"/>
      <c r="L52" s="607"/>
      <c r="M52" s="607"/>
      <c r="N52" s="607"/>
      <c r="O52" s="616"/>
      <c r="P52" s="616"/>
    </row>
    <row r="53" spans="1:16">
      <c r="A53" s="607"/>
      <c r="B53" s="614" t="s">
        <v>411</v>
      </c>
      <c r="C53" s="607" t="s">
        <v>1126</v>
      </c>
      <c r="D53" s="607"/>
      <c r="E53" s="607"/>
      <c r="F53" s="607"/>
      <c r="G53" s="607"/>
      <c r="H53" s="607"/>
      <c r="I53" s="607"/>
      <c r="J53" s="607"/>
      <c r="K53" s="607"/>
      <c r="L53" s="607"/>
      <c r="M53" s="607"/>
      <c r="N53" s="607"/>
      <c r="O53" s="616"/>
      <c r="P53" s="616"/>
    </row>
    <row r="54" spans="1:16">
      <c r="A54" s="607"/>
      <c r="B54" s="614" t="s">
        <v>411</v>
      </c>
      <c r="C54" s="607" t="s">
        <v>1127</v>
      </c>
      <c r="D54" s="607"/>
      <c r="E54" s="607"/>
      <c r="F54" s="607"/>
      <c r="G54" s="607"/>
      <c r="H54" s="607"/>
      <c r="I54" s="607"/>
      <c r="J54" s="607"/>
      <c r="K54" s="607"/>
      <c r="L54" s="607"/>
      <c r="M54" s="607"/>
      <c r="N54" s="607"/>
      <c r="O54" s="616"/>
      <c r="P54" s="616"/>
    </row>
    <row r="55" spans="1:16">
      <c r="A55" s="607"/>
      <c r="B55" s="614" t="s">
        <v>411</v>
      </c>
      <c r="C55" s="607" t="s">
        <v>1118</v>
      </c>
      <c r="D55" s="607"/>
      <c r="E55" s="607"/>
      <c r="F55" s="607"/>
      <c r="G55" s="607"/>
      <c r="H55" s="607"/>
      <c r="I55" s="607"/>
      <c r="J55" s="607"/>
      <c r="K55" s="607"/>
      <c r="L55" s="607"/>
      <c r="M55" s="607"/>
      <c r="N55" s="607"/>
      <c r="O55" s="616"/>
      <c r="P55" s="616"/>
    </row>
    <row r="56" spans="1:16">
      <c r="A56" s="467"/>
      <c r="B56" s="467"/>
      <c r="C56" s="467"/>
      <c r="D56" s="467"/>
      <c r="E56" s="467"/>
      <c r="F56" s="467"/>
      <c r="G56" s="467"/>
      <c r="H56" s="467"/>
      <c r="I56" s="467"/>
      <c r="J56" s="467"/>
      <c r="K56" s="467"/>
      <c r="L56" s="467"/>
      <c r="M56" s="467"/>
      <c r="N56" s="467"/>
      <c r="O56" s="616"/>
      <c r="P56" s="616"/>
    </row>
    <row r="57" spans="1:16" ht="16" thickBot="1">
      <c r="A57" s="607"/>
      <c r="B57" s="607"/>
      <c r="C57" s="607"/>
      <c r="D57" s="607"/>
      <c r="E57" s="607"/>
      <c r="F57" s="607"/>
      <c r="G57" s="607"/>
      <c r="H57" s="607"/>
      <c r="I57" s="607"/>
      <c r="J57" s="607"/>
      <c r="K57" s="607"/>
      <c r="L57" s="607"/>
      <c r="M57" s="607"/>
      <c r="N57" s="607"/>
      <c r="O57" s="616"/>
      <c r="P57" s="616"/>
    </row>
    <row r="58" spans="1:16" ht="17" thickBot="1">
      <c r="A58" s="624" t="s">
        <v>140</v>
      </c>
      <c r="B58" s="611"/>
      <c r="C58" s="1038" t="s">
        <v>1133</v>
      </c>
      <c r="D58" s="1039"/>
      <c r="E58" s="1039"/>
      <c r="F58" s="1039"/>
      <c r="G58" s="1039"/>
      <c r="H58" s="1039"/>
      <c r="I58" s="1039"/>
      <c r="J58" s="1039"/>
      <c r="K58" s="1039"/>
      <c r="L58" s="1039"/>
      <c r="M58" s="1039"/>
      <c r="N58" s="1040"/>
      <c r="O58" s="453">
        <v>2</v>
      </c>
      <c r="P58" s="625" t="s">
        <v>407</v>
      </c>
    </row>
    <row r="59" spans="1:16">
      <c r="A59" s="607"/>
      <c r="B59" s="614" t="s">
        <v>410</v>
      </c>
      <c r="C59" s="722" t="s">
        <v>1134</v>
      </c>
      <c r="D59" s="607"/>
      <c r="E59" s="607"/>
      <c r="F59" s="607"/>
      <c r="G59" s="607"/>
      <c r="H59" s="607"/>
      <c r="I59" s="607"/>
      <c r="J59" s="607"/>
      <c r="K59" s="607"/>
      <c r="L59" s="607"/>
      <c r="M59" s="607"/>
      <c r="N59" s="607"/>
      <c r="O59" s="607"/>
      <c r="P59" s="607"/>
    </row>
    <row r="60" spans="1:16">
      <c r="A60" s="607"/>
      <c r="B60" s="614" t="s">
        <v>410</v>
      </c>
      <c r="C60" s="715" t="s">
        <v>1135</v>
      </c>
      <c r="D60" s="607"/>
      <c r="E60" s="607"/>
      <c r="F60" s="607"/>
      <c r="G60" s="607"/>
      <c r="H60" s="607"/>
      <c r="I60" s="607"/>
      <c r="J60" s="607"/>
      <c r="K60" s="607"/>
      <c r="L60" s="607"/>
      <c r="M60" s="607"/>
      <c r="N60" s="607"/>
      <c r="O60" s="607"/>
      <c r="P60" s="607"/>
    </row>
    <row r="61" spans="1:16">
      <c r="A61" s="467"/>
      <c r="B61" s="614" t="s">
        <v>411</v>
      </c>
      <c r="C61" s="607" t="s">
        <v>1125</v>
      </c>
      <c r="D61" s="467"/>
      <c r="E61" s="467"/>
      <c r="F61" s="467"/>
      <c r="G61" s="467"/>
      <c r="H61" s="467"/>
      <c r="I61" s="467"/>
      <c r="J61" s="467"/>
      <c r="K61" s="467"/>
      <c r="L61" s="467"/>
      <c r="M61" s="467"/>
      <c r="N61" s="467"/>
      <c r="O61" s="467"/>
      <c r="P61" s="467"/>
    </row>
    <row r="62" spans="1:16">
      <c r="A62" s="467"/>
      <c r="B62" s="614" t="s">
        <v>411</v>
      </c>
      <c r="C62" s="607" t="s">
        <v>1126</v>
      </c>
      <c r="D62" s="467"/>
      <c r="E62" s="467"/>
      <c r="F62" s="467"/>
      <c r="G62" s="467"/>
      <c r="H62" s="467"/>
      <c r="I62" s="467"/>
      <c r="J62" s="467"/>
      <c r="K62" s="467"/>
      <c r="L62" s="467"/>
      <c r="M62" s="467"/>
      <c r="N62" s="467"/>
      <c r="O62" s="467"/>
      <c r="P62" s="467"/>
    </row>
    <row r="63" spans="1:16">
      <c r="A63" s="467"/>
      <c r="B63" s="614" t="s">
        <v>411</v>
      </c>
      <c r="C63" s="607" t="s">
        <v>1118</v>
      </c>
      <c r="D63" s="467"/>
      <c r="E63" s="467"/>
      <c r="F63" s="467"/>
      <c r="G63" s="467"/>
      <c r="H63" s="467"/>
      <c r="I63" s="467"/>
      <c r="J63" s="467"/>
      <c r="K63" s="467"/>
      <c r="L63" s="467"/>
      <c r="M63" s="467"/>
      <c r="N63" s="467"/>
      <c r="O63" s="467"/>
      <c r="P63" s="467"/>
    </row>
    <row r="69" spans="3:4">
      <c r="C69" s="297" t="s">
        <v>183</v>
      </c>
      <c r="D69" s="294"/>
    </row>
    <row r="70" spans="3:4">
      <c r="C70" s="289"/>
    </row>
    <row r="71" spans="3:4">
      <c r="C71" s="288" t="s">
        <v>277</v>
      </c>
    </row>
    <row r="72" spans="3:4">
      <c r="C72" s="290" t="s">
        <v>278</v>
      </c>
    </row>
    <row r="73" spans="3:4">
      <c r="C73" s="290" t="s">
        <v>279</v>
      </c>
    </row>
    <row r="74" spans="3:4">
      <c r="C74" s="290" t="s">
        <v>297</v>
      </c>
    </row>
    <row r="75" spans="3:4">
      <c r="C75" s="290" t="s">
        <v>280</v>
      </c>
    </row>
    <row r="76" spans="3:4">
      <c r="C76" s="290" t="s">
        <v>281</v>
      </c>
    </row>
    <row r="77" spans="3:4">
      <c r="C77" s="290" t="s">
        <v>282</v>
      </c>
    </row>
    <row r="78" spans="3:4">
      <c r="C78" s="290" t="s">
        <v>283</v>
      </c>
    </row>
    <row r="79" spans="3:4">
      <c r="C79" s="290" t="s">
        <v>284</v>
      </c>
    </row>
    <row r="80" spans="3:4">
      <c r="C80" s="289"/>
    </row>
    <row r="81" spans="3:3">
      <c r="C81" s="288" t="s">
        <v>186</v>
      </c>
    </row>
    <row r="82" spans="3:3">
      <c r="C82" s="290" t="s">
        <v>285</v>
      </c>
    </row>
    <row r="83" spans="3:3">
      <c r="C83" s="290" t="s">
        <v>286</v>
      </c>
    </row>
    <row r="84" spans="3:3">
      <c r="C84" s="290" t="s">
        <v>287</v>
      </c>
    </row>
    <row r="85" spans="3:3">
      <c r="C85" s="290" t="s">
        <v>288</v>
      </c>
    </row>
    <row r="86" spans="3:3">
      <c r="C86" s="290" t="s">
        <v>289</v>
      </c>
    </row>
    <row r="87" spans="3:3">
      <c r="C87" s="290" t="s">
        <v>290</v>
      </c>
    </row>
    <row r="88" spans="3:3">
      <c r="C88" s="290" t="s">
        <v>291</v>
      </c>
    </row>
    <row r="89" spans="3:3">
      <c r="C89" s="290" t="s">
        <v>292</v>
      </c>
    </row>
    <row r="90" spans="3:3">
      <c r="C90" s="290" t="s">
        <v>293</v>
      </c>
    </row>
    <row r="91" spans="3:3">
      <c r="C91" s="290" t="s">
        <v>294</v>
      </c>
    </row>
    <row r="92" spans="3:3">
      <c r="C92" s="290" t="s">
        <v>295</v>
      </c>
    </row>
    <row r="93" spans="3:3">
      <c r="C93" s="290" t="s">
        <v>296</v>
      </c>
    </row>
  </sheetData>
  <mergeCells count="7">
    <mergeCell ref="S8:Z8"/>
    <mergeCell ref="C58:N58"/>
    <mergeCell ref="C26:N26"/>
    <mergeCell ref="C9:N9"/>
    <mergeCell ref="C17:N17"/>
    <mergeCell ref="C39:N39"/>
    <mergeCell ref="C49:N49"/>
  </mergeCells>
  <dataValidations count="2">
    <dataValidation type="list" allowBlank="1" showInputMessage="1" showErrorMessage="1" sqref="P9 P16 P25" xr:uid="{00000000-0002-0000-1300-000000000000}">
      <formula1>choix</formula1>
    </dataValidation>
    <dataValidation type="list" allowBlank="1" showInputMessage="1" showErrorMessage="1" sqref="B26:B31 S12:S15 S19:S22 B10:B13 B17:B21" xr:uid="{00000000-0002-0000-1300-000001000000}">
      <formula1>Choix_capacité</formula1>
    </dataValidation>
  </dataValidations>
  <pageMargins left="0.7" right="0.7" top="0.75" bottom="0.75" header="0.3" footer="0.3"/>
  <pageSetup paperSize="9" scale="26" orientation="portrait" verticalDpi="0"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1">
    <tabColor theme="5"/>
    <pageSetUpPr fitToPage="1"/>
  </sheetPr>
  <dimension ref="A3:AC55"/>
  <sheetViews>
    <sheetView topLeftCell="C17" zoomScale="80" zoomScaleNormal="80" workbookViewId="0">
      <selection activeCell="Q4" sqref="Q4:AC55"/>
    </sheetView>
  </sheetViews>
  <sheetFormatPr baseColWidth="10" defaultRowHeight="15"/>
  <cols>
    <col min="2" max="2" width="13.6640625" customWidth="1"/>
    <col min="3" max="3" width="15" customWidth="1"/>
    <col min="12" max="12" width="12.5" customWidth="1"/>
    <col min="13" max="14" width="13.5" bestFit="1" customWidth="1"/>
    <col min="17" max="17" width="17.6640625" style="238" customWidth="1"/>
    <col min="18" max="18" width="18.6640625" customWidth="1"/>
    <col min="22" max="22" width="18.33203125" customWidth="1"/>
    <col min="29" max="29" width="17.5" customWidth="1"/>
  </cols>
  <sheetData>
    <row r="3" spans="1:29" ht="16" thickBot="1"/>
    <row r="4" spans="1:29" ht="19">
      <c r="B4" s="270" t="s">
        <v>109</v>
      </c>
      <c r="C4" s="228" t="s">
        <v>126</v>
      </c>
      <c r="D4" s="229" t="s">
        <v>29</v>
      </c>
      <c r="E4" s="227" t="s">
        <v>28</v>
      </c>
      <c r="Q4" s="270" t="s">
        <v>109</v>
      </c>
      <c r="R4" s="228" t="s">
        <v>126</v>
      </c>
      <c r="S4" s="229" t="s">
        <v>29</v>
      </c>
      <c r="T4" s="671" t="s">
        <v>28</v>
      </c>
      <c r="U4" s="983"/>
      <c r="V4" s="983"/>
      <c r="W4" s="983"/>
    </row>
    <row r="5" spans="1:29">
      <c r="C5" s="230" t="s">
        <v>55</v>
      </c>
      <c r="D5" s="231">
        <v>3</v>
      </c>
      <c r="Q5" s="983"/>
      <c r="R5" s="230" t="s">
        <v>55</v>
      </c>
      <c r="S5" s="231">
        <v>3</v>
      </c>
      <c r="T5" s="983"/>
      <c r="U5" s="983"/>
      <c r="V5" s="983"/>
      <c r="W5" s="983"/>
    </row>
    <row r="6" spans="1:29" ht="16" thickBot="1">
      <c r="C6" s="232" t="s">
        <v>62</v>
      </c>
      <c r="D6" s="252">
        <v>50</v>
      </c>
      <c r="Q6" s="983"/>
      <c r="R6" s="232" t="s">
        <v>62</v>
      </c>
      <c r="S6" s="986">
        <v>50</v>
      </c>
      <c r="T6" s="983"/>
      <c r="U6" s="983"/>
      <c r="V6" s="983"/>
      <c r="W6" s="983"/>
    </row>
    <row r="7" spans="1:29" ht="16" thickBot="1">
      <c r="O7" s="244"/>
      <c r="P7" s="397"/>
      <c r="Q7" s="398"/>
      <c r="R7" s="326"/>
      <c r="S7" s="326"/>
      <c r="T7" s="326"/>
      <c r="U7" s="326"/>
      <c r="V7" s="375"/>
    </row>
    <row r="8" spans="1:29" ht="49" thickBot="1">
      <c r="M8" s="320" t="s">
        <v>125</v>
      </c>
      <c r="N8" s="320" t="s">
        <v>408</v>
      </c>
      <c r="O8" s="244"/>
      <c r="P8" s="375"/>
      <c r="Q8" s="400"/>
      <c r="R8" s="375"/>
      <c r="S8" s="375"/>
      <c r="T8" s="375"/>
      <c r="U8" s="375"/>
      <c r="V8" s="375"/>
    </row>
    <row r="9" spans="1:29" ht="17" thickBot="1">
      <c r="O9" s="244"/>
      <c r="P9" s="399"/>
      <c r="Q9" s="1041" t="s">
        <v>567</v>
      </c>
      <c r="R9" s="1042"/>
      <c r="S9" s="1042"/>
      <c r="T9" s="1042"/>
      <c r="U9" s="1042"/>
      <c r="V9" s="1042"/>
      <c r="W9" s="1042"/>
      <c r="X9" s="1042"/>
      <c r="Y9" s="266"/>
      <c r="Z9" s="266"/>
      <c r="AA9" s="266"/>
      <c r="AB9" s="266"/>
      <c r="AC9" s="266"/>
    </row>
    <row r="10" spans="1:29" ht="17" thickBot="1">
      <c r="A10" s="323" t="s">
        <v>127</v>
      </c>
      <c r="B10" s="278"/>
      <c r="C10" s="348" t="s">
        <v>480</v>
      </c>
      <c r="D10" s="349"/>
      <c r="E10" s="349"/>
      <c r="F10" s="349"/>
      <c r="G10" s="349"/>
      <c r="H10" s="349"/>
      <c r="I10" s="349"/>
      <c r="J10" s="349"/>
      <c r="K10" s="350"/>
      <c r="L10" s="240"/>
      <c r="M10" s="279">
        <v>3</v>
      </c>
      <c r="N10" s="321" t="s">
        <v>407</v>
      </c>
      <c r="O10" s="244"/>
      <c r="P10" s="402"/>
      <c r="Y10" s="5"/>
      <c r="Z10" s="5"/>
      <c r="AA10" s="5"/>
      <c r="AB10" s="5"/>
      <c r="AC10" s="5"/>
    </row>
    <row r="11" spans="1:29" ht="16">
      <c r="A11" s="395" t="s">
        <v>488</v>
      </c>
      <c r="B11" s="396"/>
      <c r="C11" s="390" t="s">
        <v>570</v>
      </c>
      <c r="D11" s="390"/>
      <c r="E11" s="390"/>
      <c r="F11" s="390"/>
      <c r="G11" s="390"/>
      <c r="H11" s="390"/>
      <c r="I11" s="390"/>
      <c r="J11" s="331"/>
      <c r="K11" s="331"/>
      <c r="L11" s="332"/>
      <c r="M11" s="256"/>
      <c r="N11" s="244"/>
      <c r="O11" s="244"/>
      <c r="P11" s="402"/>
      <c r="Q11" s="410" t="s">
        <v>595</v>
      </c>
      <c r="R11" s="375"/>
      <c r="T11" s="399"/>
      <c r="U11" s="399"/>
      <c r="V11" s="399"/>
      <c r="W11" s="399"/>
      <c r="Y11" s="5"/>
      <c r="Z11" s="5"/>
      <c r="AA11" s="5"/>
      <c r="AB11" s="5"/>
      <c r="AC11" s="5"/>
    </row>
    <row r="12" spans="1:29">
      <c r="B12" s="242" t="s">
        <v>410</v>
      </c>
      <c r="C12" s="715" t="s">
        <v>571</v>
      </c>
      <c r="M12" s="225"/>
      <c r="N12" s="225"/>
      <c r="O12" s="244"/>
      <c r="P12" s="403"/>
      <c r="Q12" s="424" t="s">
        <v>480</v>
      </c>
      <c r="R12" s="375"/>
      <c r="T12" s="375"/>
      <c r="U12" s="375"/>
      <c r="V12" s="375"/>
      <c r="W12" s="375"/>
      <c r="Y12" s="5"/>
      <c r="Z12" s="5"/>
      <c r="AA12" s="5"/>
      <c r="AB12" s="5"/>
      <c r="AC12" s="5"/>
    </row>
    <row r="13" spans="1:29">
      <c r="B13" s="242" t="s">
        <v>410</v>
      </c>
      <c r="C13" s="715" t="s">
        <v>572</v>
      </c>
      <c r="M13" s="225"/>
      <c r="N13" s="225"/>
      <c r="O13" s="244"/>
      <c r="P13" s="403"/>
      <c r="Q13" s="423" t="s">
        <v>488</v>
      </c>
      <c r="R13" s="377" t="s">
        <v>570</v>
      </c>
      <c r="Y13" s="5"/>
      <c r="Z13" s="5"/>
      <c r="AA13" s="5"/>
      <c r="AB13" s="5"/>
      <c r="AC13" s="5"/>
    </row>
    <row r="14" spans="1:29">
      <c r="B14" s="242" t="s">
        <v>411</v>
      </c>
      <c r="C14" t="s">
        <v>573</v>
      </c>
      <c r="M14" s="225"/>
      <c r="N14" s="225"/>
      <c r="O14" s="244"/>
      <c r="P14" s="403"/>
      <c r="Q14" s="425" t="s">
        <v>410</v>
      </c>
      <c r="R14" s="400" t="s">
        <v>571</v>
      </c>
      <c r="T14" s="375"/>
      <c r="U14" s="375"/>
      <c r="V14" s="375"/>
      <c r="W14" s="375"/>
      <c r="X14" s="268"/>
      <c r="Y14" s="5"/>
      <c r="Z14" s="5"/>
      <c r="AA14" s="5"/>
      <c r="AB14" s="5"/>
      <c r="AC14" s="5"/>
    </row>
    <row r="15" spans="1:29">
      <c r="B15" s="242" t="s">
        <v>411</v>
      </c>
      <c r="C15" t="s">
        <v>574</v>
      </c>
      <c r="M15" s="225"/>
      <c r="N15" s="225"/>
      <c r="O15" s="244"/>
      <c r="P15" s="404"/>
      <c r="Q15" s="425" t="s">
        <v>410</v>
      </c>
      <c r="R15" s="400" t="s">
        <v>572</v>
      </c>
      <c r="T15" s="375"/>
      <c r="U15" s="375"/>
      <c r="V15" s="375"/>
      <c r="W15" s="375"/>
      <c r="Y15" s="5"/>
      <c r="Z15" s="5"/>
      <c r="AA15" s="5"/>
      <c r="AB15" s="5"/>
      <c r="AC15" s="5"/>
    </row>
    <row r="16" spans="1:29">
      <c r="B16" s="242" t="s">
        <v>411</v>
      </c>
      <c r="C16" t="s">
        <v>575</v>
      </c>
      <c r="M16" s="225"/>
      <c r="N16" s="225"/>
      <c r="O16" s="244"/>
      <c r="P16" s="404"/>
      <c r="Q16" s="425" t="s">
        <v>411</v>
      </c>
      <c r="R16" s="400" t="s">
        <v>573</v>
      </c>
      <c r="T16" s="375"/>
      <c r="U16" s="375"/>
      <c r="V16" s="375"/>
      <c r="W16" s="375"/>
      <c r="Y16" s="5"/>
      <c r="Z16" s="5"/>
      <c r="AA16" s="5"/>
      <c r="AB16" s="5"/>
      <c r="AC16" s="5"/>
    </row>
    <row r="17" spans="1:29">
      <c r="B17" s="242" t="s">
        <v>130</v>
      </c>
      <c r="C17" s="242" t="s">
        <v>576</v>
      </c>
      <c r="M17" s="225"/>
      <c r="N17" s="225"/>
      <c r="O17" s="244"/>
      <c r="P17" s="403"/>
      <c r="Q17" s="425" t="s">
        <v>411</v>
      </c>
      <c r="R17" s="400" t="s">
        <v>574</v>
      </c>
      <c r="T17" s="375"/>
      <c r="U17" s="375"/>
      <c r="V17" s="375"/>
      <c r="W17" s="375"/>
      <c r="Y17" s="5"/>
      <c r="Z17" s="5"/>
      <c r="AA17" s="5"/>
      <c r="AB17" s="5"/>
      <c r="AC17" s="5"/>
    </row>
    <row r="18" spans="1:29" ht="16" thickBot="1">
      <c r="M18" s="225"/>
      <c r="N18" s="225"/>
      <c r="O18" s="244"/>
      <c r="P18" s="403"/>
      <c r="Q18" s="425" t="s">
        <v>411</v>
      </c>
      <c r="R18" s="400" t="s">
        <v>575</v>
      </c>
      <c r="T18" s="375"/>
      <c r="U18" s="375"/>
      <c r="V18" s="375"/>
      <c r="W18" s="375"/>
      <c r="Y18" s="5"/>
      <c r="Z18" s="5"/>
      <c r="AA18" s="5"/>
      <c r="AB18" s="5"/>
      <c r="AC18" s="5"/>
    </row>
    <row r="19" spans="1:29" ht="17" thickBot="1">
      <c r="A19" s="323" t="s">
        <v>128</v>
      </c>
      <c r="B19" s="234"/>
      <c r="C19" s="1038" t="s">
        <v>476</v>
      </c>
      <c r="D19" s="1039"/>
      <c r="E19" s="1039"/>
      <c r="F19" s="1039"/>
      <c r="G19" s="1039"/>
      <c r="H19" s="1039"/>
      <c r="I19" s="1039"/>
      <c r="J19" s="1039"/>
      <c r="K19" s="1039"/>
      <c r="L19" s="1039"/>
      <c r="M19" s="374">
        <v>2</v>
      </c>
      <c r="N19" s="321" t="s">
        <v>407</v>
      </c>
      <c r="O19" s="244"/>
      <c r="P19" s="403"/>
      <c r="Q19" s="424" t="s">
        <v>476</v>
      </c>
      <c r="T19" s="375"/>
      <c r="U19" s="375"/>
      <c r="V19" s="375"/>
      <c r="W19" s="375"/>
      <c r="Y19" s="5"/>
      <c r="Z19" s="5"/>
      <c r="AA19" s="5"/>
      <c r="AB19" s="5"/>
      <c r="AC19" s="5"/>
    </row>
    <row r="20" spans="1:29" ht="15" customHeight="1">
      <c r="A20" s="395" t="s">
        <v>488</v>
      </c>
      <c r="B20" s="396"/>
      <c r="C20" s="390" t="s">
        <v>577</v>
      </c>
      <c r="M20" s="225"/>
      <c r="N20" s="225"/>
      <c r="P20" s="405"/>
      <c r="Q20" s="423" t="s">
        <v>488</v>
      </c>
      <c r="R20" s="377" t="s">
        <v>577</v>
      </c>
      <c r="T20" s="375"/>
      <c r="U20" s="375"/>
      <c r="V20" s="375"/>
      <c r="W20" s="375"/>
      <c r="Y20" s="244"/>
      <c r="Z20" s="244"/>
      <c r="AA20" s="244"/>
      <c r="AB20" s="244"/>
      <c r="AC20" s="244"/>
    </row>
    <row r="21" spans="1:29">
      <c r="B21" s="242" t="s">
        <v>410</v>
      </c>
      <c r="C21" s="715" t="s">
        <v>578</v>
      </c>
      <c r="M21" s="225"/>
      <c r="N21" s="225"/>
      <c r="P21" s="405"/>
      <c r="Q21" s="425" t="s">
        <v>410</v>
      </c>
      <c r="R21" s="400" t="s">
        <v>578</v>
      </c>
      <c r="T21" s="266"/>
      <c r="U21" s="266"/>
      <c r="V21" s="266"/>
      <c r="W21" s="266"/>
      <c r="Y21" s="244"/>
      <c r="Z21" s="244"/>
      <c r="AA21" s="244"/>
      <c r="AB21" s="244"/>
      <c r="AC21" s="244"/>
    </row>
    <row r="22" spans="1:29">
      <c r="B22" s="242" t="s">
        <v>410</v>
      </c>
      <c r="C22" s="715" t="s">
        <v>579</v>
      </c>
      <c r="M22" s="225"/>
      <c r="N22" s="225"/>
      <c r="P22" s="406"/>
      <c r="Q22" s="425" t="s">
        <v>410</v>
      </c>
      <c r="R22" s="400" t="s">
        <v>579</v>
      </c>
      <c r="T22" s="266"/>
      <c r="U22" s="266"/>
      <c r="V22" s="266"/>
      <c r="W22" s="266"/>
      <c r="Y22" s="244"/>
      <c r="Z22" s="244"/>
      <c r="AA22" s="244"/>
      <c r="AB22" s="244"/>
      <c r="AC22" s="244"/>
    </row>
    <row r="23" spans="1:29">
      <c r="B23" s="242" t="s">
        <v>411</v>
      </c>
      <c r="C23" t="s">
        <v>580</v>
      </c>
      <c r="M23" s="225"/>
      <c r="N23" s="225"/>
      <c r="P23" s="407"/>
      <c r="Q23" s="425" t="s">
        <v>411</v>
      </c>
      <c r="R23" s="400" t="s">
        <v>580</v>
      </c>
      <c r="U23" s="244"/>
      <c r="V23" s="244"/>
      <c r="W23" s="244"/>
      <c r="Y23" s="244"/>
      <c r="Z23" s="244"/>
      <c r="AA23" s="244"/>
      <c r="AB23" s="244"/>
      <c r="AC23" s="244"/>
    </row>
    <row r="24" spans="1:29">
      <c r="B24" s="242" t="s">
        <v>411</v>
      </c>
      <c r="C24" t="s">
        <v>581</v>
      </c>
      <c r="P24" s="406"/>
      <c r="Q24" s="425" t="s">
        <v>411</v>
      </c>
      <c r="R24" s="400" t="s">
        <v>581</v>
      </c>
      <c r="U24" s="244"/>
      <c r="V24" s="244"/>
      <c r="W24" s="244"/>
    </row>
    <row r="25" spans="1:29">
      <c r="B25" s="242" t="s">
        <v>130</v>
      </c>
      <c r="C25" s="242" t="s">
        <v>582</v>
      </c>
      <c r="P25" s="407"/>
      <c r="Q25" s="424" t="s">
        <v>477</v>
      </c>
    </row>
    <row r="26" spans="1:29" ht="16" thickBot="1">
      <c r="P26" s="408"/>
      <c r="Q26" s="423" t="s">
        <v>488</v>
      </c>
      <c r="R26" s="377" t="s">
        <v>583</v>
      </c>
      <c r="V26" s="269"/>
      <c r="W26" s="269"/>
    </row>
    <row r="27" spans="1:29" ht="17" thickBot="1">
      <c r="A27" s="323" t="s">
        <v>129</v>
      </c>
      <c r="B27" s="234"/>
      <c r="C27" s="1045" t="s">
        <v>477</v>
      </c>
      <c r="D27" s="1039"/>
      <c r="E27" s="1039"/>
      <c r="F27" s="1039"/>
      <c r="G27" s="1039"/>
      <c r="H27" s="1039"/>
      <c r="I27" s="1039"/>
      <c r="J27" s="1039"/>
      <c r="K27" s="1039"/>
      <c r="L27" s="1039"/>
      <c r="M27" s="374">
        <v>3</v>
      </c>
      <c r="N27" s="321" t="s">
        <v>407</v>
      </c>
      <c r="P27" s="408"/>
      <c r="Q27" s="425" t="s">
        <v>410</v>
      </c>
      <c r="R27" s="400" t="s">
        <v>584</v>
      </c>
      <c r="U27" s="269"/>
    </row>
    <row r="28" spans="1:29" ht="16">
      <c r="A28" s="395" t="s">
        <v>488</v>
      </c>
      <c r="B28" s="371"/>
      <c r="C28" s="390" t="s">
        <v>583</v>
      </c>
      <c r="D28" s="386"/>
      <c r="M28" s="225"/>
      <c r="N28" s="225"/>
      <c r="P28" s="408"/>
      <c r="Q28" s="425" t="s">
        <v>410</v>
      </c>
      <c r="R28" s="400" t="s">
        <v>585</v>
      </c>
    </row>
    <row r="29" spans="1:29">
      <c r="B29" s="242" t="s">
        <v>410</v>
      </c>
      <c r="C29" s="715" t="s">
        <v>584</v>
      </c>
      <c r="M29" s="225"/>
      <c r="N29" s="225"/>
      <c r="P29" s="408"/>
      <c r="Q29" s="425" t="s">
        <v>410</v>
      </c>
      <c r="R29" s="400" t="s">
        <v>298</v>
      </c>
    </row>
    <row r="30" spans="1:29">
      <c r="B30" s="242" t="s">
        <v>410</v>
      </c>
      <c r="C30" s="715" t="s">
        <v>585</v>
      </c>
      <c r="M30" s="225"/>
      <c r="N30" s="225"/>
      <c r="P30" s="409"/>
      <c r="Q30" s="425" t="s">
        <v>411</v>
      </c>
      <c r="R30" s="400" t="s">
        <v>586</v>
      </c>
    </row>
    <row r="31" spans="1:29">
      <c r="B31" s="242" t="s">
        <v>410</v>
      </c>
      <c r="C31" s="715" t="s">
        <v>298</v>
      </c>
      <c r="M31" s="225"/>
      <c r="N31" s="225"/>
      <c r="O31" s="244"/>
      <c r="P31" s="408"/>
      <c r="Q31" s="425" t="s">
        <v>411</v>
      </c>
      <c r="R31" s="400" t="s">
        <v>587</v>
      </c>
    </row>
    <row r="32" spans="1:29">
      <c r="B32" s="242" t="s">
        <v>411</v>
      </c>
      <c r="C32" t="s">
        <v>586</v>
      </c>
      <c r="O32" s="353"/>
      <c r="P32" s="408"/>
      <c r="Q32" s="425" t="s">
        <v>411</v>
      </c>
      <c r="R32" s="400" t="s">
        <v>588</v>
      </c>
    </row>
    <row r="33" spans="1:26">
      <c r="B33" s="242" t="s">
        <v>411</v>
      </c>
      <c r="C33" t="s">
        <v>587</v>
      </c>
      <c r="O33" s="244"/>
      <c r="P33" s="408"/>
      <c r="Q33" s="424" t="s">
        <v>478</v>
      </c>
    </row>
    <row r="34" spans="1:26">
      <c r="B34" s="242" t="s">
        <v>411</v>
      </c>
      <c r="C34" t="s">
        <v>588</v>
      </c>
      <c r="O34" s="244"/>
      <c r="P34" s="407"/>
      <c r="Q34" s="423" t="s">
        <v>488</v>
      </c>
      <c r="R34" s="377" t="s">
        <v>590</v>
      </c>
    </row>
    <row r="35" spans="1:26">
      <c r="B35" s="242" t="s">
        <v>130</v>
      </c>
      <c r="C35" s="242" t="s">
        <v>589</v>
      </c>
      <c r="O35" s="244"/>
      <c r="P35" s="406"/>
      <c r="Q35" s="425" t="s">
        <v>410</v>
      </c>
      <c r="R35" s="400" t="s">
        <v>591</v>
      </c>
    </row>
    <row r="36" spans="1:26" ht="16" thickBot="1">
      <c r="O36" s="244"/>
      <c r="P36" s="406"/>
      <c r="Q36" s="425" t="s">
        <v>410</v>
      </c>
      <c r="R36" s="400" t="s">
        <v>592</v>
      </c>
    </row>
    <row r="37" spans="1:26" ht="17" thickBot="1">
      <c r="A37" s="323" t="s">
        <v>140</v>
      </c>
      <c r="B37" s="234"/>
      <c r="C37" s="273" t="s">
        <v>478</v>
      </c>
      <c r="D37" s="274"/>
      <c r="E37" s="274"/>
      <c r="F37" s="274"/>
      <c r="G37" s="274"/>
      <c r="H37" s="274"/>
      <c r="I37" s="274"/>
      <c r="J37" s="274"/>
      <c r="K37" s="274"/>
      <c r="L37" s="274"/>
      <c r="M37" s="241">
        <v>1</v>
      </c>
      <c r="N37" s="321" t="s">
        <v>407</v>
      </c>
      <c r="O37" s="244"/>
      <c r="P37" s="408"/>
      <c r="Q37" s="425" t="s">
        <v>411</v>
      </c>
      <c r="R37" s="400" t="s">
        <v>593</v>
      </c>
    </row>
    <row r="38" spans="1:26" ht="16">
      <c r="A38" s="395" t="s">
        <v>488</v>
      </c>
      <c r="B38" s="371"/>
      <c r="C38" s="390" t="s">
        <v>590</v>
      </c>
      <c r="L38" s="251"/>
      <c r="O38" s="244"/>
      <c r="P38" s="408"/>
    </row>
    <row r="39" spans="1:26">
      <c r="B39" s="242" t="s">
        <v>410</v>
      </c>
      <c r="C39" s="715" t="s">
        <v>591</v>
      </c>
      <c r="O39" s="244"/>
      <c r="P39" s="408"/>
      <c r="Q39" s="410" t="s">
        <v>186</v>
      </c>
      <c r="R39" s="400"/>
    </row>
    <row r="40" spans="1:26">
      <c r="B40" s="242" t="s">
        <v>410</v>
      </c>
      <c r="C40" s="715" t="s">
        <v>592</v>
      </c>
      <c r="O40" s="244"/>
      <c r="P40" s="408"/>
      <c r="Q40" s="377" t="s">
        <v>299</v>
      </c>
      <c r="R40" s="400"/>
    </row>
    <row r="41" spans="1:26">
      <c r="B41" s="242" t="s">
        <v>411</v>
      </c>
      <c r="C41" t="s">
        <v>593</v>
      </c>
      <c r="O41" s="244"/>
      <c r="P41" s="408"/>
      <c r="Q41" s="378" t="s">
        <v>596</v>
      </c>
      <c r="R41" s="400"/>
    </row>
    <row r="42" spans="1:26">
      <c r="B42" s="242" t="s">
        <v>130</v>
      </c>
      <c r="C42" s="242" t="s">
        <v>594</v>
      </c>
      <c r="O42" s="244"/>
      <c r="P42" s="406"/>
      <c r="Q42" s="375" t="s">
        <v>597</v>
      </c>
      <c r="R42" s="400"/>
    </row>
    <row r="43" spans="1:26">
      <c r="B43" s="242"/>
      <c r="O43" s="244"/>
      <c r="P43" s="408"/>
      <c r="Q43" s="378" t="s">
        <v>598</v>
      </c>
      <c r="R43" s="400"/>
      <c r="X43" s="351"/>
      <c r="Y43" s="351"/>
      <c r="Z43" s="353"/>
    </row>
    <row r="44" spans="1:26">
      <c r="B44" s="242"/>
      <c r="O44" s="244"/>
      <c r="P44" s="408"/>
      <c r="Q44" s="378" t="s">
        <v>599</v>
      </c>
      <c r="R44" s="400"/>
      <c r="V44" s="351"/>
      <c r="W44" s="351"/>
    </row>
    <row r="45" spans="1:26">
      <c r="P45" s="292"/>
      <c r="Q45" s="378" t="s">
        <v>600</v>
      </c>
      <c r="R45" s="400"/>
      <c r="T45" s="351"/>
      <c r="U45" s="351"/>
    </row>
    <row r="46" spans="1:26">
      <c r="P46" s="292"/>
      <c r="Q46" s="377" t="s">
        <v>300</v>
      </c>
      <c r="R46" s="400"/>
      <c r="S46" s="351"/>
    </row>
    <row r="47" spans="1:26">
      <c r="P47" s="292"/>
      <c r="Q47" s="378" t="s">
        <v>601</v>
      </c>
      <c r="R47" s="401"/>
    </row>
    <row r="48" spans="1:26">
      <c r="P48" s="292"/>
      <c r="Q48" s="378" t="s">
        <v>602</v>
      </c>
      <c r="R48" s="375"/>
    </row>
    <row r="49" spans="5:19">
      <c r="P49" s="292"/>
      <c r="Q49" s="378" t="s">
        <v>603</v>
      </c>
      <c r="R49" s="375"/>
    </row>
    <row r="50" spans="5:19">
      <c r="E50" s="257"/>
      <c r="F50" s="257"/>
      <c r="G50" s="257"/>
      <c r="H50" s="244"/>
      <c r="P50" s="292"/>
      <c r="Q50" s="375"/>
      <c r="R50" s="375"/>
    </row>
    <row r="51" spans="5:19">
      <c r="P51" s="292"/>
      <c r="Q51" s="377" t="s">
        <v>535</v>
      </c>
      <c r="R51" s="375"/>
      <c r="S51" s="242"/>
    </row>
    <row r="52" spans="5:19">
      <c r="P52" s="292"/>
      <c r="Q52" s="377" t="s">
        <v>576</v>
      </c>
      <c r="R52" s="377"/>
      <c r="S52" s="242"/>
    </row>
    <row r="53" spans="5:19">
      <c r="P53" s="292"/>
      <c r="Q53" s="377" t="s">
        <v>582</v>
      </c>
      <c r="R53" s="377"/>
      <c r="S53" s="242"/>
    </row>
    <row r="54" spans="5:19">
      <c r="P54" s="292"/>
      <c r="Q54" s="377" t="s">
        <v>589</v>
      </c>
      <c r="R54" s="377"/>
      <c r="S54" s="242"/>
    </row>
    <row r="55" spans="5:19">
      <c r="P55" s="292"/>
      <c r="Q55" s="377" t="s">
        <v>594</v>
      </c>
      <c r="R55" s="377"/>
    </row>
  </sheetData>
  <mergeCells count="3">
    <mergeCell ref="C19:L19"/>
    <mergeCell ref="C27:L27"/>
    <mergeCell ref="Q9:X9"/>
  </mergeCells>
  <dataValidations disablePrompts="1" count="2">
    <dataValidation type="list" allowBlank="1" showInputMessage="1" showErrorMessage="1" sqref="N10:N11 N19 N27 N37" xr:uid="{00000000-0002-0000-1400-000000000000}">
      <formula1>choix</formula1>
    </dataValidation>
    <dataValidation type="list" allowBlank="1" showInputMessage="1" showErrorMessage="1" sqref="B38:B43 B28:B33 B20:B25 B12:B17 Q14:Q18 Q21:Q24 Q27:Q31 Q35:Q37" xr:uid="{00000000-0002-0000-1400-000001000000}">
      <formula1>Choix_capacité</formula1>
    </dataValidation>
  </dataValidations>
  <pageMargins left="0.7" right="0.7" top="0.75" bottom="0.75" header="0.3" footer="0.3"/>
  <pageSetup paperSize="9" scale="39" orientation="landscape" verticalDpi="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2">
    <tabColor theme="5"/>
  </sheetPr>
  <dimension ref="A3:U57"/>
  <sheetViews>
    <sheetView zoomScale="80" zoomScaleNormal="80" workbookViewId="0"/>
  </sheetViews>
  <sheetFormatPr baseColWidth="10" defaultRowHeight="15"/>
  <cols>
    <col min="2" max="2" width="13.6640625" customWidth="1"/>
    <col min="3" max="3" width="17.6640625" customWidth="1"/>
    <col min="12" max="12" width="9.5" customWidth="1"/>
    <col min="13" max="14" width="13.5" bestFit="1" customWidth="1"/>
    <col min="15" max="15" width="7.6640625" customWidth="1"/>
  </cols>
  <sheetData>
    <row r="3" spans="1:21" ht="16" thickBot="1"/>
    <row r="4" spans="1:21" ht="19">
      <c r="B4" s="270" t="s">
        <v>109</v>
      </c>
      <c r="C4" s="228" t="s">
        <v>126</v>
      </c>
      <c r="D4" s="229" t="s">
        <v>35</v>
      </c>
      <c r="E4" s="227" t="s">
        <v>34</v>
      </c>
      <c r="G4" s="260" t="s">
        <v>164</v>
      </c>
    </row>
    <row r="5" spans="1:21">
      <c r="C5" s="230" t="s">
        <v>55</v>
      </c>
      <c r="D5" s="231">
        <v>4</v>
      </c>
    </row>
    <row r="6" spans="1:21" ht="16" thickBot="1">
      <c r="C6" s="232" t="s">
        <v>62</v>
      </c>
      <c r="D6" s="252">
        <v>74</v>
      </c>
    </row>
    <row r="7" spans="1:21" ht="16" thickBot="1">
      <c r="T7" s="242"/>
    </row>
    <row r="8" spans="1:21" ht="49" thickBot="1">
      <c r="M8" s="320" t="s">
        <v>125</v>
      </c>
      <c r="N8" s="320" t="s">
        <v>408</v>
      </c>
    </row>
    <row r="9" spans="1:21" ht="16" thickBot="1">
      <c r="T9" s="250"/>
      <c r="U9" s="244"/>
    </row>
    <row r="10" spans="1:21" ht="17" thickBot="1">
      <c r="A10" s="323" t="s">
        <v>127</v>
      </c>
      <c r="B10" s="234"/>
      <c r="C10" s="253" t="s">
        <v>480</v>
      </c>
      <c r="D10" s="254"/>
      <c r="E10" s="254"/>
      <c r="F10" s="254"/>
      <c r="G10" s="254"/>
      <c r="H10" s="254"/>
      <c r="I10" s="254"/>
      <c r="J10" s="254"/>
      <c r="K10" s="255"/>
      <c r="L10" s="239"/>
      <c r="M10" s="241">
        <v>3</v>
      </c>
      <c r="N10" s="321"/>
      <c r="P10" s="1081" t="s">
        <v>209</v>
      </c>
      <c r="Q10" s="1082"/>
      <c r="R10" s="1082"/>
      <c r="S10" s="1082"/>
      <c r="T10" s="1082"/>
      <c r="U10" s="1082"/>
    </row>
    <row r="11" spans="1:21">
      <c r="B11" s="242" t="s">
        <v>410</v>
      </c>
      <c r="C11" s="226"/>
      <c r="M11" s="225"/>
      <c r="N11" s="225"/>
      <c r="P11" s="306"/>
      <c r="Q11" s="244"/>
      <c r="R11" s="244"/>
      <c r="S11" s="244"/>
      <c r="T11" s="244"/>
      <c r="U11" s="245"/>
    </row>
    <row r="12" spans="1:21" ht="15.75" customHeight="1">
      <c r="B12" s="242" t="s">
        <v>410</v>
      </c>
      <c r="C12" s="226"/>
      <c r="M12" s="225"/>
      <c r="N12" s="225"/>
      <c r="P12" s="307" t="s">
        <v>166</v>
      </c>
      <c r="Q12" s="244"/>
      <c r="R12" s="244"/>
      <c r="S12" s="244"/>
      <c r="T12" s="244"/>
      <c r="U12" s="244"/>
    </row>
    <row r="13" spans="1:21">
      <c r="B13" s="242" t="s">
        <v>410</v>
      </c>
      <c r="C13" s="226"/>
      <c r="M13" s="225"/>
      <c r="N13" s="225"/>
      <c r="P13" s="308" t="s">
        <v>167</v>
      </c>
      <c r="Q13" s="244"/>
      <c r="R13" s="244"/>
      <c r="S13" s="244"/>
      <c r="T13" s="244"/>
      <c r="U13" s="244"/>
    </row>
    <row r="14" spans="1:21">
      <c r="B14" s="242" t="s">
        <v>411</v>
      </c>
      <c r="C14" s="226"/>
      <c r="M14" s="225"/>
      <c r="N14" s="225"/>
      <c r="P14" s="309" t="s">
        <v>168</v>
      </c>
      <c r="Q14" s="244"/>
      <c r="R14" s="244"/>
      <c r="S14" s="244"/>
      <c r="T14" s="244"/>
      <c r="U14" s="244"/>
    </row>
    <row r="15" spans="1:21">
      <c r="B15" s="242" t="s">
        <v>411</v>
      </c>
      <c r="M15" s="225"/>
      <c r="N15" s="225"/>
      <c r="P15" s="307" t="s">
        <v>169</v>
      </c>
      <c r="Q15" s="244"/>
      <c r="R15" s="244"/>
      <c r="S15" s="244"/>
      <c r="T15" s="244"/>
      <c r="U15" s="244"/>
    </row>
    <row r="16" spans="1:21">
      <c r="B16" s="242" t="s">
        <v>411</v>
      </c>
      <c r="M16" s="225"/>
      <c r="N16" s="225"/>
      <c r="P16" s="307" t="s">
        <v>170</v>
      </c>
      <c r="Q16" s="244"/>
      <c r="R16" s="244"/>
      <c r="S16" s="244"/>
      <c r="T16" s="244"/>
      <c r="U16" s="244"/>
    </row>
    <row r="17" spans="1:21">
      <c r="B17" s="242" t="s">
        <v>130</v>
      </c>
      <c r="M17" s="225"/>
      <c r="N17" s="225"/>
      <c r="P17" s="306" t="s">
        <v>171</v>
      </c>
      <c r="Q17" s="244"/>
      <c r="R17" s="243"/>
      <c r="S17" s="245"/>
      <c r="T17" s="244"/>
      <c r="U17" s="244"/>
    </row>
    <row r="18" spans="1:21" ht="16" thickBot="1">
      <c r="M18" s="225"/>
      <c r="N18" s="225"/>
      <c r="R18" s="244"/>
      <c r="S18" s="246"/>
    </row>
    <row r="19" spans="1:21" ht="17" thickBot="1">
      <c r="A19" s="323" t="s">
        <v>128</v>
      </c>
      <c r="B19" s="234"/>
      <c r="C19" s="1038" t="s">
        <v>476</v>
      </c>
      <c r="D19" s="1039"/>
      <c r="E19" s="1039"/>
      <c r="F19" s="1039"/>
      <c r="G19" s="1039"/>
      <c r="H19" s="1039"/>
      <c r="I19" s="1039"/>
      <c r="J19" s="1039"/>
      <c r="K19" s="1039"/>
      <c r="L19" s="1039"/>
      <c r="M19" s="241">
        <v>3</v>
      </c>
      <c r="N19" s="321"/>
      <c r="R19" s="250"/>
      <c r="S19" s="244"/>
    </row>
    <row r="20" spans="1:21">
      <c r="B20" s="242" t="s">
        <v>410</v>
      </c>
      <c r="M20" s="225"/>
      <c r="N20" s="225"/>
      <c r="O20" s="244"/>
      <c r="P20" s="297" t="s">
        <v>183</v>
      </c>
      <c r="Q20" s="294"/>
      <c r="T20" s="243"/>
      <c r="U20" s="245"/>
    </row>
    <row r="21" spans="1:21">
      <c r="B21" s="242" t="s">
        <v>410</v>
      </c>
      <c r="M21" s="225"/>
      <c r="N21" s="225"/>
      <c r="O21" s="244"/>
      <c r="P21" s="289"/>
      <c r="T21" s="243"/>
      <c r="U21" s="245"/>
    </row>
    <row r="22" spans="1:21" ht="15.75" customHeight="1">
      <c r="B22" s="242" t="s">
        <v>410</v>
      </c>
      <c r="M22" s="225"/>
      <c r="N22" s="225"/>
      <c r="O22" s="244"/>
      <c r="P22" s="288" t="s">
        <v>176</v>
      </c>
      <c r="T22" s="243"/>
      <c r="U22" s="247"/>
    </row>
    <row r="23" spans="1:21">
      <c r="B23" s="242" t="s">
        <v>411</v>
      </c>
      <c r="M23" s="225"/>
      <c r="N23" s="225"/>
      <c r="O23" s="244"/>
      <c r="P23" s="289" t="s">
        <v>301</v>
      </c>
      <c r="T23" s="243"/>
      <c r="U23" s="247"/>
    </row>
    <row r="24" spans="1:21">
      <c r="B24" s="242" t="s">
        <v>411</v>
      </c>
      <c r="O24" s="244"/>
      <c r="P24" s="300" t="s">
        <v>302</v>
      </c>
      <c r="T24" s="243"/>
      <c r="U24" s="247"/>
    </row>
    <row r="25" spans="1:21">
      <c r="B25" s="242" t="s">
        <v>411</v>
      </c>
      <c r="O25" s="244"/>
      <c r="P25" s="300" t="s">
        <v>303</v>
      </c>
      <c r="T25" s="243"/>
      <c r="U25" s="247"/>
    </row>
    <row r="26" spans="1:21">
      <c r="B26" s="242" t="s">
        <v>130</v>
      </c>
      <c r="O26" s="244"/>
      <c r="P26" s="289"/>
      <c r="T26" s="243"/>
      <c r="U26" s="247"/>
    </row>
    <row r="27" spans="1:21" ht="16" thickBot="1">
      <c r="O27" s="244"/>
      <c r="P27" s="288" t="s">
        <v>186</v>
      </c>
      <c r="T27" s="243"/>
      <c r="U27" s="247"/>
    </row>
    <row r="28" spans="1:21" ht="17" thickBot="1">
      <c r="A28" s="323" t="s">
        <v>129</v>
      </c>
      <c r="B28" s="234"/>
      <c r="C28" s="1045" t="s">
        <v>477</v>
      </c>
      <c r="D28" s="1039"/>
      <c r="E28" s="1039"/>
      <c r="F28" s="1039"/>
      <c r="G28" s="1039"/>
      <c r="H28" s="1039"/>
      <c r="I28" s="1039"/>
      <c r="J28" s="1039"/>
      <c r="K28" s="1039"/>
      <c r="L28" s="1039"/>
      <c r="M28" s="241">
        <v>2</v>
      </c>
      <c r="N28" s="321"/>
      <c r="O28" s="244"/>
      <c r="P28" s="289" t="s">
        <v>304</v>
      </c>
      <c r="T28" s="243"/>
      <c r="U28" s="245"/>
    </row>
    <row r="29" spans="1:21">
      <c r="B29" s="242" t="s">
        <v>410</v>
      </c>
      <c r="M29" s="225"/>
      <c r="N29" s="225"/>
      <c r="O29" s="244"/>
      <c r="P29" s="289" t="s">
        <v>305</v>
      </c>
      <c r="T29" s="243"/>
      <c r="U29" s="247"/>
    </row>
    <row r="30" spans="1:21">
      <c r="B30" s="242" t="s">
        <v>410</v>
      </c>
      <c r="M30" s="225"/>
      <c r="N30" s="225"/>
      <c r="P30" s="289" t="s">
        <v>306</v>
      </c>
      <c r="T30" s="243"/>
      <c r="U30" s="247"/>
    </row>
    <row r="31" spans="1:21">
      <c r="B31" s="242" t="s">
        <v>410</v>
      </c>
      <c r="M31" s="225"/>
      <c r="N31" s="225"/>
      <c r="P31" s="289" t="s">
        <v>307</v>
      </c>
      <c r="T31" s="243"/>
      <c r="U31" s="247"/>
    </row>
    <row r="32" spans="1:21">
      <c r="B32" s="242" t="s">
        <v>411</v>
      </c>
      <c r="M32" s="225"/>
      <c r="N32" s="225"/>
      <c r="P32" s="289" t="s">
        <v>308</v>
      </c>
      <c r="T32" s="243"/>
      <c r="U32" s="245"/>
    </row>
    <row r="33" spans="1:21">
      <c r="B33" s="242" t="s">
        <v>411</v>
      </c>
      <c r="P33" s="289" t="s">
        <v>309</v>
      </c>
      <c r="T33" s="244"/>
      <c r="U33" s="248"/>
    </row>
    <row r="34" spans="1:21">
      <c r="B34" s="242" t="s">
        <v>411</v>
      </c>
      <c r="P34" s="288" t="s">
        <v>310</v>
      </c>
      <c r="T34" s="250"/>
      <c r="U34" s="244"/>
    </row>
    <row r="35" spans="1:21">
      <c r="B35" s="242" t="s">
        <v>130</v>
      </c>
      <c r="P35" s="290" t="s">
        <v>311</v>
      </c>
      <c r="T35" s="243"/>
      <c r="U35" s="249"/>
    </row>
    <row r="36" spans="1:21" ht="16" thickBot="1">
      <c r="P36" s="290" t="s">
        <v>312</v>
      </c>
      <c r="T36" s="243"/>
      <c r="U36" s="245"/>
    </row>
    <row r="37" spans="1:21" ht="17" thickBot="1">
      <c r="A37" s="323" t="s">
        <v>140</v>
      </c>
      <c r="B37" s="234"/>
      <c r="C37" s="253" t="s">
        <v>64</v>
      </c>
      <c r="D37" s="254"/>
      <c r="E37" s="254"/>
      <c r="F37" s="254"/>
      <c r="G37" s="254"/>
      <c r="H37" s="254"/>
      <c r="I37" s="254"/>
      <c r="J37" s="254"/>
      <c r="K37" s="254"/>
      <c r="L37" s="254"/>
      <c r="M37" s="241">
        <v>2</v>
      </c>
      <c r="N37" s="321"/>
      <c r="T37" s="243"/>
      <c r="U37" s="247"/>
    </row>
    <row r="38" spans="1:21">
      <c r="B38" s="242" t="s">
        <v>410</v>
      </c>
      <c r="T38" s="243"/>
      <c r="U38" s="245"/>
    </row>
    <row r="39" spans="1:21">
      <c r="B39" s="242" t="s">
        <v>410</v>
      </c>
      <c r="T39" s="244"/>
      <c r="U39" s="247"/>
    </row>
    <row r="40" spans="1:21">
      <c r="B40" s="242" t="s">
        <v>410</v>
      </c>
      <c r="T40" s="250"/>
      <c r="U40" s="244"/>
    </row>
    <row r="41" spans="1:21">
      <c r="B41" s="242" t="s">
        <v>411</v>
      </c>
      <c r="T41" s="243"/>
      <c r="U41" s="249"/>
    </row>
    <row r="42" spans="1:21">
      <c r="B42" s="242" t="s">
        <v>411</v>
      </c>
      <c r="T42" s="243"/>
      <c r="U42" s="249"/>
    </row>
    <row r="43" spans="1:21">
      <c r="B43" s="242" t="s">
        <v>411</v>
      </c>
      <c r="T43" s="243"/>
      <c r="U43" s="249"/>
    </row>
    <row r="44" spans="1:21">
      <c r="B44" s="242" t="s">
        <v>130</v>
      </c>
      <c r="T44" s="243"/>
      <c r="U44" s="249"/>
    </row>
    <row r="45" spans="1:21" ht="16" thickBot="1">
      <c r="T45" s="243"/>
      <c r="U45" s="249"/>
    </row>
    <row r="46" spans="1:21" ht="17" thickBot="1">
      <c r="A46" s="323" t="s">
        <v>141</v>
      </c>
      <c r="B46" s="234"/>
      <c r="C46" s="253" t="s">
        <v>479</v>
      </c>
      <c r="D46" s="254"/>
      <c r="E46" s="254"/>
      <c r="F46" s="254"/>
      <c r="G46" s="254"/>
      <c r="H46" s="254"/>
      <c r="I46" s="254"/>
      <c r="J46" s="254"/>
      <c r="K46" s="254"/>
      <c r="L46" s="254"/>
      <c r="M46" s="241">
        <v>2</v>
      </c>
      <c r="N46" s="321"/>
      <c r="T46" s="243"/>
      <c r="U46" s="249"/>
    </row>
    <row r="47" spans="1:21">
      <c r="B47" s="242" t="s">
        <v>410</v>
      </c>
      <c r="T47" s="244"/>
      <c r="U47" s="249"/>
    </row>
    <row r="48" spans="1:21">
      <c r="B48" s="242" t="s">
        <v>410</v>
      </c>
    </row>
    <row r="49" spans="1:14">
      <c r="B49" s="242" t="s">
        <v>410</v>
      </c>
    </row>
    <row r="50" spans="1:14">
      <c r="B50" s="242" t="s">
        <v>411</v>
      </c>
    </row>
    <row r="51" spans="1:14">
      <c r="B51" s="242" t="s">
        <v>411</v>
      </c>
    </row>
    <row r="52" spans="1:14">
      <c r="A52" s="244"/>
      <c r="B52" s="242" t="s">
        <v>411</v>
      </c>
      <c r="C52" s="244"/>
      <c r="D52" s="244"/>
      <c r="E52" s="244"/>
      <c r="F52" s="244"/>
      <c r="G52" s="244"/>
      <c r="H52" s="244"/>
      <c r="I52" s="244"/>
      <c r="J52" s="244"/>
      <c r="K52" s="244"/>
      <c r="L52" s="244"/>
      <c r="M52" s="244"/>
      <c r="N52" s="244"/>
    </row>
    <row r="53" spans="1:14">
      <c r="A53" s="244"/>
      <c r="B53" s="242" t="s">
        <v>130</v>
      </c>
      <c r="C53" s="244"/>
      <c r="D53" s="244"/>
      <c r="E53" s="244"/>
      <c r="F53" s="244"/>
      <c r="G53" s="244"/>
      <c r="H53" s="244"/>
      <c r="I53" s="244"/>
      <c r="J53" s="244"/>
      <c r="K53" s="244"/>
      <c r="L53" s="244"/>
      <c r="M53" s="244"/>
      <c r="N53" s="244"/>
    </row>
    <row r="54" spans="1:14">
      <c r="A54" s="244"/>
      <c r="B54" s="244"/>
      <c r="C54" s="244"/>
      <c r="D54" s="244"/>
      <c r="E54" s="244"/>
      <c r="F54" s="244"/>
      <c r="G54" s="244"/>
      <c r="H54" s="244"/>
      <c r="I54" s="244"/>
      <c r="J54" s="244"/>
      <c r="K54" s="244"/>
      <c r="L54" s="244"/>
      <c r="M54" s="244"/>
      <c r="N54" s="244"/>
    </row>
    <row r="55" spans="1:14">
      <c r="A55" s="244"/>
      <c r="B55" s="244"/>
      <c r="C55" s="244"/>
      <c r="D55" s="244"/>
      <c r="E55" s="244"/>
      <c r="F55" s="244"/>
      <c r="G55" s="244"/>
      <c r="H55" s="244"/>
      <c r="I55" s="244"/>
      <c r="J55" s="244"/>
      <c r="K55" s="244"/>
      <c r="L55" s="244"/>
      <c r="M55" s="244"/>
      <c r="N55" s="244"/>
    </row>
    <row r="56" spans="1:14">
      <c r="A56" s="244"/>
      <c r="B56" s="244"/>
      <c r="C56" s="244"/>
      <c r="D56" s="244"/>
      <c r="E56" s="257"/>
      <c r="F56" s="257"/>
      <c r="G56" s="257"/>
      <c r="H56" s="257"/>
      <c r="I56" s="244"/>
      <c r="J56" s="244"/>
      <c r="K56" s="244"/>
      <c r="L56" s="244"/>
      <c r="M56" s="244"/>
      <c r="N56" s="244"/>
    </row>
    <row r="57" spans="1:14">
      <c r="A57" s="244"/>
      <c r="B57" s="244"/>
      <c r="C57" s="244"/>
      <c r="D57" s="244"/>
      <c r="E57" s="244"/>
      <c r="F57" s="244"/>
      <c r="G57" s="244"/>
      <c r="H57" s="244"/>
      <c r="I57" s="244"/>
      <c r="J57" s="244"/>
      <c r="K57" s="244"/>
      <c r="L57" s="244"/>
      <c r="M57" s="244"/>
      <c r="N57" s="244"/>
    </row>
  </sheetData>
  <mergeCells count="3">
    <mergeCell ref="C19:L19"/>
    <mergeCell ref="C28:L28"/>
    <mergeCell ref="P10:U10"/>
  </mergeCells>
  <dataValidations count="2">
    <dataValidation type="list" allowBlank="1" showInputMessage="1" showErrorMessage="1" sqref="N10 N19 N28 N37 N46" xr:uid="{00000000-0002-0000-1500-000000000000}">
      <formula1>choix</formula1>
    </dataValidation>
    <dataValidation type="list" allowBlank="1" showInputMessage="1" showErrorMessage="1" sqref="B11:B16 B20:B25 B29:B34 B38:B43 B47:B52" xr:uid="{00000000-0002-0000-1500-000001000000}">
      <formula1>Choix_capacité</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3">
    <tabColor theme="5"/>
    <pageSetUpPr fitToPage="1"/>
  </sheetPr>
  <dimension ref="A3:AC65"/>
  <sheetViews>
    <sheetView topLeftCell="E21" zoomScale="80" zoomScaleNormal="80" workbookViewId="0">
      <selection activeCell="Q4" sqref="Q4:AA64"/>
    </sheetView>
  </sheetViews>
  <sheetFormatPr baseColWidth="10" defaultRowHeight="15"/>
  <cols>
    <col min="2" max="2" width="13.6640625" customWidth="1"/>
    <col min="3" max="3" width="15.5" customWidth="1"/>
    <col min="12" max="12" width="26" customWidth="1"/>
    <col min="13" max="14" width="13.5" bestFit="1" customWidth="1"/>
    <col min="17" max="17" width="22.6640625" style="238" customWidth="1"/>
    <col min="18" max="18" width="19.33203125" customWidth="1"/>
    <col min="22" max="22" width="18.1640625" customWidth="1"/>
    <col min="29" max="29" width="17.5" customWidth="1"/>
  </cols>
  <sheetData>
    <row r="3" spans="1:29" ht="16" thickBot="1"/>
    <row r="4" spans="1:29" ht="19">
      <c r="B4" s="270" t="s">
        <v>109</v>
      </c>
      <c r="C4" s="228" t="s">
        <v>126</v>
      </c>
      <c r="D4" s="229" t="s">
        <v>33</v>
      </c>
      <c r="E4" s="227" t="s">
        <v>32</v>
      </c>
      <c r="Q4" s="270" t="s">
        <v>109</v>
      </c>
      <c r="R4" s="228" t="s">
        <v>126</v>
      </c>
      <c r="S4" s="229" t="s">
        <v>33</v>
      </c>
      <c r="T4" s="671" t="s">
        <v>32</v>
      </c>
      <c r="U4" s="983"/>
    </row>
    <row r="5" spans="1:29">
      <c r="C5" s="230" t="s">
        <v>55</v>
      </c>
      <c r="D5" s="231">
        <v>2</v>
      </c>
      <c r="Q5" s="983"/>
      <c r="R5" s="230" t="s">
        <v>55</v>
      </c>
      <c r="S5" s="231">
        <v>2</v>
      </c>
      <c r="T5" s="983"/>
      <c r="U5" s="983"/>
    </row>
    <row r="6" spans="1:29" ht="16" thickBot="1">
      <c r="C6" s="232" t="s">
        <v>62</v>
      </c>
      <c r="D6" s="261">
        <v>34</v>
      </c>
      <c r="Q6" s="983"/>
      <c r="R6" s="232" t="s">
        <v>62</v>
      </c>
      <c r="S6" s="986">
        <v>34</v>
      </c>
      <c r="T6" s="983"/>
      <c r="U6" s="983"/>
    </row>
    <row r="7" spans="1:29" ht="16" thickBot="1">
      <c r="P7" s="266"/>
      <c r="Q7" s="266"/>
      <c r="R7" s="266"/>
      <c r="S7" s="266"/>
      <c r="T7" s="266"/>
      <c r="U7" s="266"/>
      <c r="V7" s="266"/>
      <c r="W7" s="244"/>
      <c r="X7" s="244"/>
      <c r="Y7" s="244"/>
      <c r="Z7" s="244"/>
      <c r="AA7" s="244"/>
      <c r="AB7" s="244"/>
      <c r="AC7" s="244"/>
    </row>
    <row r="8" spans="1:29" ht="49" thickBot="1">
      <c r="M8" s="320" t="s">
        <v>125</v>
      </c>
      <c r="N8" s="320" t="s">
        <v>408</v>
      </c>
    </row>
    <row r="9" spans="1:29" ht="17" thickBot="1">
      <c r="Q9" s="1041" t="s">
        <v>567</v>
      </c>
      <c r="R9" s="1042"/>
      <c r="S9" s="1042"/>
      <c r="T9" s="1042"/>
      <c r="U9" s="1042"/>
      <c r="V9" s="1042"/>
      <c r="W9" s="1042"/>
      <c r="X9" s="1042"/>
    </row>
    <row r="10" spans="1:29" ht="17" thickBot="1">
      <c r="A10" s="323" t="s">
        <v>127</v>
      </c>
      <c r="B10" s="234"/>
      <c r="C10" s="262" t="s">
        <v>124</v>
      </c>
      <c r="D10" s="263"/>
      <c r="E10" s="263"/>
      <c r="F10" s="263"/>
      <c r="G10" s="263"/>
      <c r="H10" s="263"/>
      <c r="I10" s="263"/>
      <c r="J10" s="263"/>
      <c r="K10" s="264"/>
      <c r="L10" s="239"/>
      <c r="M10" s="241">
        <v>3</v>
      </c>
      <c r="N10" s="321" t="s">
        <v>407</v>
      </c>
      <c r="P10" s="690"/>
      <c r="Q10" s="615"/>
      <c r="R10" s="608"/>
      <c r="S10" s="608"/>
      <c r="T10" s="607"/>
      <c r="U10" s="607"/>
      <c r="V10" s="607"/>
      <c r="W10" s="607"/>
      <c r="X10" s="607"/>
    </row>
    <row r="11" spans="1:29">
      <c r="B11" s="614" t="s">
        <v>410</v>
      </c>
      <c r="C11" s="715" t="s">
        <v>1137</v>
      </c>
      <c r="M11" s="225"/>
      <c r="N11" s="225"/>
      <c r="P11" s="690"/>
      <c r="Q11" s="498" t="s">
        <v>529</v>
      </c>
      <c r="R11" s="608"/>
      <c r="S11" s="608"/>
      <c r="T11" s="607"/>
      <c r="U11" s="607"/>
      <c r="V11" s="607"/>
      <c r="W11" s="607"/>
      <c r="X11" s="607"/>
    </row>
    <row r="12" spans="1:29">
      <c r="B12" s="614" t="s">
        <v>410</v>
      </c>
      <c r="C12" s="715" t="s">
        <v>1138</v>
      </c>
      <c r="M12" s="225"/>
      <c r="N12" s="225"/>
      <c r="P12" s="690"/>
      <c r="Q12" s="421" t="s">
        <v>124</v>
      </c>
      <c r="R12" s="608"/>
      <c r="S12" s="608"/>
      <c r="T12" s="607"/>
      <c r="U12" s="607"/>
      <c r="V12" s="607"/>
      <c r="W12" s="607"/>
      <c r="X12" s="607"/>
    </row>
    <row r="13" spans="1:29">
      <c r="B13" s="614" t="s">
        <v>411</v>
      </c>
      <c r="C13" s="607" t="s">
        <v>1139</v>
      </c>
      <c r="M13" s="225"/>
      <c r="N13" s="225"/>
      <c r="P13" s="690"/>
      <c r="Q13" s="506" t="s">
        <v>410</v>
      </c>
      <c r="R13" s="607" t="s">
        <v>1137</v>
      </c>
      <c r="S13" s="608"/>
      <c r="T13" s="607"/>
      <c r="U13" s="607"/>
      <c r="V13" s="607"/>
      <c r="W13" s="607"/>
      <c r="X13" s="607"/>
    </row>
    <row r="14" spans="1:29" s="666" customFormat="1">
      <c r="B14" s="679"/>
      <c r="C14" s="811" t="s">
        <v>1375</v>
      </c>
      <c r="D14" s="810" t="s">
        <v>1374</v>
      </c>
      <c r="E14" s="810"/>
      <c r="F14" s="810"/>
      <c r="G14" s="810"/>
      <c r="H14" s="810"/>
      <c r="I14" s="810"/>
      <c r="J14" s="810"/>
      <c r="K14" s="810"/>
      <c r="L14" s="666" t="s">
        <v>1372</v>
      </c>
      <c r="M14" s="670"/>
      <c r="N14" s="670"/>
      <c r="P14" s="690"/>
      <c r="Q14" s="506" t="s">
        <v>410</v>
      </c>
      <c r="R14" s="607" t="s">
        <v>1138</v>
      </c>
      <c r="S14" s="667"/>
    </row>
    <row r="15" spans="1:29">
      <c r="B15" s="614" t="s">
        <v>411</v>
      </c>
      <c r="C15" s="607" t="s">
        <v>1369</v>
      </c>
      <c r="M15" s="225"/>
      <c r="N15" s="225"/>
      <c r="P15" s="690"/>
      <c r="Q15" s="506" t="s">
        <v>411</v>
      </c>
      <c r="R15" s="260" t="s">
        <v>1139</v>
      </c>
      <c r="S15" s="608"/>
      <c r="T15" s="607"/>
      <c r="U15" s="607"/>
      <c r="V15" s="607"/>
      <c r="W15" s="607"/>
      <c r="X15" s="607"/>
    </row>
    <row r="16" spans="1:29">
      <c r="B16" s="614" t="s">
        <v>411</v>
      </c>
      <c r="C16" s="607" t="s">
        <v>1141</v>
      </c>
      <c r="M16" s="225"/>
      <c r="N16" s="225"/>
      <c r="P16" s="690"/>
      <c r="Q16" s="813"/>
      <c r="S16" s="608"/>
      <c r="T16" s="607"/>
      <c r="U16" s="607"/>
      <c r="V16" s="607"/>
      <c r="W16" s="607"/>
      <c r="X16" s="607"/>
    </row>
    <row r="17" spans="1:24">
      <c r="B17" s="242" t="s">
        <v>130</v>
      </c>
      <c r="C17" s="679" t="s">
        <v>1370</v>
      </c>
      <c r="M17" s="225"/>
      <c r="N17" s="225"/>
      <c r="P17" s="690"/>
      <c r="Q17" s="506" t="s">
        <v>411</v>
      </c>
      <c r="R17" s="607" t="s">
        <v>1140</v>
      </c>
      <c r="S17" s="608"/>
      <c r="T17" s="607"/>
      <c r="U17" s="607"/>
      <c r="V17" s="607"/>
      <c r="W17" s="607"/>
      <c r="X17" s="607"/>
    </row>
    <row r="18" spans="1:24">
      <c r="M18" s="225"/>
      <c r="N18" s="225"/>
      <c r="P18" s="690"/>
      <c r="Q18" s="506" t="s">
        <v>411</v>
      </c>
      <c r="R18" s="607" t="s">
        <v>1141</v>
      </c>
      <c r="S18" s="608"/>
      <c r="T18" s="607"/>
      <c r="U18" s="607"/>
      <c r="V18" s="607"/>
      <c r="W18" s="607"/>
      <c r="X18" s="607"/>
    </row>
    <row r="19" spans="1:24" ht="16" thickBot="1">
      <c r="P19" s="690"/>
      <c r="Q19" s="607"/>
      <c r="R19" s="612"/>
      <c r="S19" s="615"/>
      <c r="T19" s="607"/>
      <c r="U19" s="607"/>
      <c r="V19" s="607"/>
      <c r="W19" s="607"/>
      <c r="X19" s="607"/>
    </row>
    <row r="20" spans="1:24" ht="17" thickBot="1">
      <c r="A20" s="323" t="s">
        <v>128</v>
      </c>
      <c r="B20" s="234"/>
      <c r="C20" s="1038" t="s">
        <v>71</v>
      </c>
      <c r="D20" s="1039"/>
      <c r="E20" s="1039"/>
      <c r="F20" s="1039"/>
      <c r="G20" s="1039"/>
      <c r="H20" s="1039"/>
      <c r="I20" s="1039"/>
      <c r="J20" s="1039"/>
      <c r="K20" s="1039"/>
      <c r="L20" s="1039"/>
      <c r="M20" s="241">
        <v>3</v>
      </c>
      <c r="N20" s="321" t="s">
        <v>407</v>
      </c>
      <c r="P20" s="690"/>
      <c r="Q20" s="422" t="s">
        <v>71</v>
      </c>
      <c r="R20" s="615"/>
      <c r="S20" s="615"/>
      <c r="T20" s="607"/>
      <c r="U20" s="607"/>
      <c r="V20" s="607"/>
      <c r="W20" s="607"/>
      <c r="X20" s="607"/>
    </row>
    <row r="21" spans="1:24">
      <c r="B21" s="614" t="s">
        <v>410</v>
      </c>
      <c r="C21" s="715" t="s">
        <v>1137</v>
      </c>
      <c r="D21" s="607"/>
      <c r="M21" s="225"/>
      <c r="N21" s="225"/>
      <c r="P21" s="690"/>
      <c r="Q21" s="814" t="s">
        <v>410</v>
      </c>
      <c r="R21" s="715" t="s">
        <v>1137</v>
      </c>
      <c r="S21" s="607"/>
      <c r="T21" s="607"/>
      <c r="U21" s="607"/>
      <c r="V21" s="607"/>
      <c r="W21" s="607"/>
      <c r="X21" s="607"/>
    </row>
    <row r="22" spans="1:24">
      <c r="B22" s="614" t="s">
        <v>410</v>
      </c>
      <c r="C22" s="715" t="s">
        <v>1142</v>
      </c>
      <c r="D22" s="607"/>
      <c r="M22" s="225"/>
      <c r="N22" s="225"/>
      <c r="P22" s="690"/>
      <c r="Q22" s="814" t="s">
        <v>410</v>
      </c>
      <c r="R22" s="715" t="s">
        <v>1142</v>
      </c>
      <c r="S22" s="607"/>
      <c r="T22" s="607"/>
      <c r="U22" s="607"/>
      <c r="V22" s="607"/>
      <c r="W22" s="607"/>
      <c r="X22" s="607"/>
    </row>
    <row r="23" spans="1:24">
      <c r="B23" s="614" t="s">
        <v>410</v>
      </c>
      <c r="C23" s="715" t="s">
        <v>1143</v>
      </c>
      <c r="D23" s="607"/>
      <c r="M23" s="225"/>
      <c r="N23" s="225"/>
      <c r="P23" s="690"/>
      <c r="Q23" s="814" t="s">
        <v>410</v>
      </c>
      <c r="R23" s="715" t="s">
        <v>1143</v>
      </c>
      <c r="S23" s="607"/>
      <c r="T23" s="607"/>
      <c r="U23" s="607"/>
      <c r="V23" s="607"/>
      <c r="W23" s="607"/>
      <c r="X23" s="607"/>
    </row>
    <row r="24" spans="1:24">
      <c r="B24" s="614" t="s">
        <v>410</v>
      </c>
      <c r="C24" s="715" t="s">
        <v>1144</v>
      </c>
      <c r="D24" s="607"/>
      <c r="M24" s="225"/>
      <c r="N24" s="225"/>
      <c r="P24" s="690"/>
      <c r="Q24" s="814" t="s">
        <v>410</v>
      </c>
      <c r="R24" s="715" t="s">
        <v>1144</v>
      </c>
      <c r="S24" s="607"/>
      <c r="T24" s="607"/>
      <c r="U24" s="607"/>
      <c r="V24" s="607"/>
      <c r="W24" s="607"/>
      <c r="X24" s="607"/>
    </row>
    <row r="25" spans="1:24">
      <c r="B25" s="614" t="s">
        <v>410</v>
      </c>
      <c r="C25" s="715" t="s">
        <v>1145</v>
      </c>
      <c r="D25" s="607"/>
      <c r="M25" s="225"/>
      <c r="N25" s="225"/>
      <c r="P25" s="690"/>
      <c r="Q25" s="814" t="s">
        <v>410</v>
      </c>
      <c r="R25" s="715" t="s">
        <v>1145</v>
      </c>
      <c r="S25" s="607"/>
      <c r="T25" s="607"/>
      <c r="U25" s="607"/>
      <c r="V25" s="607"/>
      <c r="W25" s="607"/>
      <c r="X25" s="607"/>
    </row>
    <row r="26" spans="1:24">
      <c r="B26" s="614" t="s">
        <v>410</v>
      </c>
      <c r="C26" s="715" t="s">
        <v>1138</v>
      </c>
      <c r="D26" s="607"/>
      <c r="M26" s="225"/>
      <c r="N26" s="225"/>
      <c r="P26" s="690"/>
      <c r="Q26" s="814" t="s">
        <v>410</v>
      </c>
      <c r="R26" s="715" t="s">
        <v>1138</v>
      </c>
      <c r="S26" s="607"/>
      <c r="T26" s="607"/>
      <c r="U26" s="607"/>
      <c r="V26" s="607"/>
      <c r="W26" s="607"/>
      <c r="X26" s="607"/>
    </row>
    <row r="27" spans="1:24">
      <c r="B27" s="614" t="s">
        <v>410</v>
      </c>
      <c r="C27" s="715" t="s">
        <v>1146</v>
      </c>
      <c r="D27" s="607"/>
      <c r="M27" s="225"/>
      <c r="N27" s="225"/>
      <c r="P27" s="690"/>
      <c r="Q27" s="814" t="s">
        <v>410</v>
      </c>
      <c r="R27" s="715" t="s">
        <v>1146</v>
      </c>
      <c r="S27" s="607"/>
      <c r="T27" s="607"/>
      <c r="U27" s="607"/>
      <c r="V27" s="607"/>
      <c r="W27" s="607"/>
      <c r="X27" s="607"/>
    </row>
    <row r="28" spans="1:24">
      <c r="B28" s="614" t="s">
        <v>410</v>
      </c>
      <c r="C28" s="715" t="s">
        <v>1147</v>
      </c>
      <c r="D28" s="607"/>
      <c r="P28" s="690"/>
      <c r="Q28" s="814" t="s">
        <v>410</v>
      </c>
      <c r="R28" s="715" t="s">
        <v>1147</v>
      </c>
      <c r="S28" s="607"/>
      <c r="T28" s="607"/>
      <c r="U28" s="607"/>
      <c r="V28" s="607"/>
      <c r="W28" s="607"/>
      <c r="X28" s="607"/>
    </row>
    <row r="29" spans="1:24">
      <c r="B29" s="614" t="s">
        <v>410</v>
      </c>
      <c r="C29" s="715" t="s">
        <v>1148</v>
      </c>
      <c r="D29" s="607"/>
      <c r="P29" s="690"/>
      <c r="Q29" s="814" t="s">
        <v>410</v>
      </c>
      <c r="R29" s="715" t="s">
        <v>1148</v>
      </c>
      <c r="S29" s="607"/>
      <c r="T29" s="607"/>
      <c r="U29" s="607"/>
      <c r="V29" s="607"/>
      <c r="W29" s="607"/>
      <c r="X29" s="607"/>
    </row>
    <row r="30" spans="1:24">
      <c r="B30" s="614" t="s">
        <v>410</v>
      </c>
      <c r="C30" s="715" t="s">
        <v>1149</v>
      </c>
      <c r="D30" s="607"/>
      <c r="P30" s="690"/>
      <c r="Q30" s="814" t="s">
        <v>410</v>
      </c>
      <c r="R30" s="715" t="s">
        <v>1149</v>
      </c>
      <c r="S30" s="607"/>
      <c r="T30" s="607"/>
      <c r="U30" s="607"/>
      <c r="V30" s="607"/>
      <c r="W30" s="607"/>
      <c r="X30" s="607"/>
    </row>
    <row r="31" spans="1:24">
      <c r="B31" s="614" t="s">
        <v>411</v>
      </c>
      <c r="C31" s="607" t="s">
        <v>1139</v>
      </c>
      <c r="D31" s="607"/>
      <c r="P31" s="690"/>
      <c r="Q31" s="814" t="s">
        <v>411</v>
      </c>
      <c r="R31" s="666" t="s">
        <v>1139</v>
      </c>
      <c r="S31" s="607"/>
      <c r="T31" s="607"/>
      <c r="U31" s="607"/>
      <c r="V31" s="607"/>
      <c r="W31" s="607"/>
      <c r="X31" s="607"/>
    </row>
    <row r="32" spans="1:24">
      <c r="B32" s="614" t="s">
        <v>411</v>
      </c>
      <c r="C32" s="607" t="s">
        <v>1150</v>
      </c>
      <c r="D32" s="607"/>
      <c r="P32" s="690"/>
      <c r="Q32" s="814" t="s">
        <v>411</v>
      </c>
      <c r="R32" s="666" t="s">
        <v>1150</v>
      </c>
      <c r="S32" s="607"/>
      <c r="T32" s="607"/>
      <c r="U32" s="607"/>
      <c r="V32" s="607"/>
      <c r="W32" s="607"/>
      <c r="X32" s="607"/>
    </row>
    <row r="33" spans="1:24">
      <c r="B33" s="614" t="s">
        <v>411</v>
      </c>
      <c r="C33" s="607" t="s">
        <v>1151</v>
      </c>
      <c r="D33" s="607"/>
      <c r="P33" s="690"/>
      <c r="Q33" s="814" t="s">
        <v>411</v>
      </c>
      <c r="R33" s="666" t="s">
        <v>1151</v>
      </c>
      <c r="S33" s="607"/>
      <c r="T33" s="607"/>
      <c r="U33" s="607"/>
      <c r="V33" s="607"/>
      <c r="W33" s="607"/>
      <c r="X33" s="607"/>
    </row>
    <row r="34" spans="1:24">
      <c r="B34" s="614" t="s">
        <v>411</v>
      </c>
      <c r="C34" s="607" t="s">
        <v>1152</v>
      </c>
      <c r="D34" s="607"/>
      <c r="P34" s="690"/>
      <c r="Q34" s="814" t="s">
        <v>411</v>
      </c>
      <c r="R34" s="666" t="s">
        <v>1152</v>
      </c>
      <c r="S34" s="607"/>
      <c r="T34" s="607"/>
      <c r="U34" s="607"/>
      <c r="V34" s="607"/>
      <c r="W34" s="607"/>
      <c r="X34" s="607"/>
    </row>
    <row r="35" spans="1:24">
      <c r="B35" s="614" t="s">
        <v>411</v>
      </c>
      <c r="C35" s="623" t="s">
        <v>1153</v>
      </c>
      <c r="D35" s="607"/>
      <c r="P35" s="690"/>
      <c r="Q35" s="814" t="s">
        <v>411</v>
      </c>
      <c r="R35" s="623" t="s">
        <v>1153</v>
      </c>
      <c r="S35" s="607"/>
      <c r="T35" s="607"/>
      <c r="U35" s="607"/>
      <c r="V35" s="607"/>
      <c r="W35" s="607"/>
      <c r="X35" s="607"/>
    </row>
    <row r="36" spans="1:24">
      <c r="B36" s="614" t="s">
        <v>411</v>
      </c>
      <c r="C36" s="607" t="s">
        <v>1140</v>
      </c>
      <c r="D36" s="607"/>
      <c r="P36" s="690"/>
      <c r="Q36" s="814" t="s">
        <v>411</v>
      </c>
      <c r="R36" s="666" t="s">
        <v>1140</v>
      </c>
      <c r="S36" s="607"/>
      <c r="T36" s="607"/>
      <c r="U36" s="607"/>
      <c r="V36" s="607"/>
      <c r="W36" s="607"/>
      <c r="X36" s="607"/>
    </row>
    <row r="37" spans="1:24">
      <c r="B37" s="614" t="s">
        <v>411</v>
      </c>
      <c r="C37" s="607" t="s">
        <v>1141</v>
      </c>
      <c r="D37" s="607"/>
      <c r="P37" s="690"/>
      <c r="Q37" s="814" t="s">
        <v>411</v>
      </c>
      <c r="R37" s="666" t="s">
        <v>1141</v>
      </c>
      <c r="S37" s="607"/>
      <c r="T37" s="607"/>
      <c r="U37" s="607"/>
      <c r="V37" s="607"/>
      <c r="W37" s="607"/>
      <c r="X37" s="607"/>
    </row>
    <row r="38" spans="1:24">
      <c r="B38" s="614" t="s">
        <v>411</v>
      </c>
      <c r="C38" s="607" t="s">
        <v>1154</v>
      </c>
      <c r="D38" s="607"/>
      <c r="P38" s="690"/>
      <c r="Q38" s="814" t="s">
        <v>411</v>
      </c>
      <c r="R38" s="666" t="s">
        <v>1154</v>
      </c>
      <c r="S38" s="607"/>
      <c r="T38" s="607"/>
      <c r="U38" s="607"/>
      <c r="V38" s="607"/>
      <c r="W38" s="607"/>
      <c r="X38" s="607"/>
    </row>
    <row r="39" spans="1:24">
      <c r="B39" s="614" t="s">
        <v>411</v>
      </c>
      <c r="C39" s="607" t="s">
        <v>1155</v>
      </c>
      <c r="D39" s="607"/>
      <c r="P39" s="690"/>
      <c r="Q39" s="814" t="s">
        <v>411</v>
      </c>
      <c r="R39" s="666" t="s">
        <v>1155</v>
      </c>
      <c r="S39" s="607"/>
      <c r="T39" s="607"/>
      <c r="U39" s="607"/>
      <c r="V39" s="607"/>
      <c r="W39" s="607"/>
      <c r="X39" s="607"/>
    </row>
    <row r="40" spans="1:24">
      <c r="B40" s="679" t="s">
        <v>411</v>
      </c>
      <c r="C40" s="810" t="s">
        <v>1371</v>
      </c>
      <c r="D40" s="810"/>
      <c r="E40" s="810"/>
      <c r="F40" s="810"/>
      <c r="G40" s="810"/>
      <c r="H40" s="810"/>
      <c r="I40" t="s">
        <v>1372</v>
      </c>
      <c r="P40" s="690"/>
      <c r="Q40" s="814" t="s">
        <v>411</v>
      </c>
      <c r="R40" s="812" t="s">
        <v>1371</v>
      </c>
      <c r="S40" s="607"/>
      <c r="T40" s="607"/>
      <c r="U40" s="607"/>
      <c r="V40" s="607"/>
      <c r="W40" s="607"/>
      <c r="X40" s="607"/>
    </row>
    <row r="41" spans="1:24">
      <c r="B41" s="614" t="s">
        <v>130</v>
      </c>
      <c r="C41" s="679" t="s">
        <v>1373</v>
      </c>
      <c r="P41" s="690"/>
      <c r="Q41" s="815"/>
      <c r="U41" s="607"/>
      <c r="V41" s="607"/>
      <c r="W41" s="607"/>
      <c r="X41" s="607"/>
    </row>
    <row r="42" spans="1:24" ht="16" thickBot="1">
      <c r="P42" s="690"/>
      <c r="Q42" s="422" t="s">
        <v>479</v>
      </c>
      <c r="R42" s="502"/>
      <c r="S42" s="607"/>
      <c r="T42" s="607"/>
      <c r="U42" s="607"/>
      <c r="V42" s="607"/>
      <c r="W42" s="607"/>
      <c r="X42" s="607"/>
    </row>
    <row r="43" spans="1:24" ht="17" thickBot="1">
      <c r="A43" s="323" t="s">
        <v>129</v>
      </c>
      <c r="B43" s="278"/>
      <c r="C43" s="262" t="s">
        <v>479</v>
      </c>
      <c r="D43" s="263"/>
      <c r="E43" s="263"/>
      <c r="F43" s="263"/>
      <c r="G43" s="263"/>
      <c r="H43" s="263"/>
      <c r="I43" s="263"/>
      <c r="J43" s="263"/>
      <c r="K43" s="263"/>
      <c r="L43" s="240"/>
      <c r="M43" s="279">
        <v>2</v>
      </c>
      <c r="N43" s="321" t="s">
        <v>407</v>
      </c>
      <c r="P43" s="690"/>
      <c r="Q43" s="814" t="s">
        <v>410</v>
      </c>
      <c r="R43" s="715" t="s">
        <v>1137</v>
      </c>
      <c r="S43" s="607"/>
      <c r="T43" s="607"/>
      <c r="U43" s="607"/>
      <c r="V43" s="607"/>
      <c r="W43" s="607"/>
      <c r="X43" s="607"/>
    </row>
    <row r="44" spans="1:24">
      <c r="B44" s="614" t="s">
        <v>410</v>
      </c>
      <c r="C44" s="715" t="s">
        <v>1137</v>
      </c>
      <c r="M44" s="225"/>
      <c r="N44" s="225"/>
      <c r="P44" s="690"/>
      <c r="Q44" s="814" t="s">
        <v>410</v>
      </c>
      <c r="R44" s="715" t="s">
        <v>1142</v>
      </c>
      <c r="S44" s="607"/>
      <c r="T44" s="607"/>
      <c r="U44" s="607"/>
      <c r="V44" s="607"/>
      <c r="W44" s="607"/>
      <c r="X44" s="607"/>
    </row>
    <row r="45" spans="1:24">
      <c r="B45" s="614" t="s">
        <v>410</v>
      </c>
      <c r="C45" s="715" t="s">
        <v>1142</v>
      </c>
      <c r="M45" s="225"/>
      <c r="N45" s="225"/>
      <c r="P45" s="690"/>
      <c r="Q45" s="814" t="s">
        <v>410</v>
      </c>
      <c r="R45" s="715" t="s">
        <v>1145</v>
      </c>
      <c r="S45" s="607"/>
      <c r="T45" s="607"/>
      <c r="U45" s="607"/>
      <c r="V45" s="607"/>
      <c r="W45" s="607"/>
      <c r="X45" s="607"/>
    </row>
    <row r="46" spans="1:24">
      <c r="B46" s="614" t="s">
        <v>410</v>
      </c>
      <c r="C46" s="715" t="s">
        <v>1145</v>
      </c>
      <c r="M46" s="225"/>
      <c r="N46" s="225"/>
      <c r="P46" s="690"/>
      <c r="Q46" s="814" t="s">
        <v>411</v>
      </c>
      <c r="R46" s="666" t="s">
        <v>1139</v>
      </c>
      <c r="S46" s="607"/>
      <c r="T46" s="607"/>
      <c r="U46" s="607"/>
      <c r="V46" s="607"/>
      <c r="W46" s="607"/>
      <c r="X46" s="607"/>
    </row>
    <row r="47" spans="1:24">
      <c r="B47" s="614" t="s">
        <v>411</v>
      </c>
      <c r="C47" s="607" t="s">
        <v>1139</v>
      </c>
      <c r="M47" s="225"/>
      <c r="N47" s="225"/>
      <c r="P47" s="690"/>
      <c r="Q47" s="814" t="s">
        <v>411</v>
      </c>
      <c r="R47" s="666" t="s">
        <v>1152</v>
      </c>
      <c r="S47" s="607"/>
      <c r="T47" s="607"/>
      <c r="U47" s="607"/>
      <c r="V47" s="607"/>
      <c r="W47" s="607"/>
      <c r="X47" s="607"/>
    </row>
    <row r="48" spans="1:24">
      <c r="B48" s="614" t="s">
        <v>411</v>
      </c>
      <c r="C48" s="607" t="s">
        <v>1152</v>
      </c>
      <c r="M48" s="225"/>
      <c r="N48" s="225"/>
      <c r="P48" s="690"/>
      <c r="Q48" s="607"/>
      <c r="R48" s="612"/>
      <c r="S48" s="607"/>
      <c r="T48" s="607"/>
      <c r="U48" s="607"/>
      <c r="V48" s="607"/>
      <c r="W48" s="607"/>
      <c r="X48" s="607"/>
    </row>
    <row r="49" spans="1:24">
      <c r="B49" s="614" t="s">
        <v>130</v>
      </c>
      <c r="C49" s="607"/>
      <c r="P49" s="690"/>
      <c r="Q49" s="607"/>
      <c r="R49" s="612"/>
      <c r="S49" s="607"/>
      <c r="T49" s="607"/>
      <c r="U49" s="607"/>
      <c r="V49" s="607"/>
      <c r="W49" s="607"/>
      <c r="X49" s="607"/>
    </row>
    <row r="50" spans="1:24">
      <c r="P50" s="690"/>
      <c r="Q50" s="499" t="s">
        <v>186</v>
      </c>
      <c r="R50" s="612"/>
      <c r="S50" s="607"/>
      <c r="T50" s="607"/>
      <c r="U50" s="607"/>
      <c r="V50" s="607"/>
      <c r="W50" s="607"/>
      <c r="X50" s="607"/>
    </row>
    <row r="51" spans="1:24">
      <c r="P51" s="690"/>
      <c r="Q51" s="671"/>
      <c r="R51" s="612"/>
      <c r="S51" s="607"/>
      <c r="T51" s="607"/>
      <c r="U51" s="607"/>
      <c r="V51" s="607"/>
      <c r="W51" s="607"/>
      <c r="X51" s="607"/>
    </row>
    <row r="52" spans="1:24">
      <c r="A52" s="371" t="s">
        <v>1156</v>
      </c>
      <c r="B52" s="607"/>
      <c r="C52" s="607" t="s">
        <v>1159</v>
      </c>
      <c r="D52" s="607"/>
      <c r="E52" s="607"/>
      <c r="F52" s="607"/>
      <c r="G52" s="607"/>
      <c r="H52" s="607"/>
      <c r="I52" s="607"/>
      <c r="J52" s="607"/>
      <c r="K52" s="607"/>
      <c r="L52" s="607"/>
      <c r="M52" s="607"/>
      <c r="N52" s="607"/>
      <c r="P52" s="690"/>
      <c r="Q52" s="686" t="s">
        <v>313</v>
      </c>
      <c r="R52" s="612"/>
      <c r="S52" s="607"/>
      <c r="T52" s="607"/>
      <c r="U52" s="607"/>
      <c r="V52" s="607"/>
      <c r="W52" s="607"/>
      <c r="X52" s="607"/>
    </row>
    <row r="53" spans="1:24">
      <c r="A53" s="607"/>
      <c r="B53" s="607"/>
      <c r="C53" s="607" t="s">
        <v>57</v>
      </c>
      <c r="D53" s="607"/>
      <c r="E53" s="607"/>
      <c r="F53" s="607"/>
      <c r="G53" s="607"/>
      <c r="H53" s="607"/>
      <c r="I53" s="607"/>
      <c r="J53" s="607"/>
      <c r="K53" s="607"/>
      <c r="L53" s="607"/>
      <c r="M53" s="607"/>
      <c r="N53" s="607" t="s">
        <v>409</v>
      </c>
      <c r="P53" s="690"/>
      <c r="Q53" s="686" t="s">
        <v>314</v>
      </c>
      <c r="R53" s="612"/>
      <c r="S53" s="607"/>
      <c r="T53" s="607"/>
      <c r="U53" s="607"/>
      <c r="V53" s="607"/>
      <c r="W53" s="607"/>
      <c r="X53" s="607"/>
    </row>
    <row r="54" spans="1:24">
      <c r="A54" s="607"/>
      <c r="B54" s="607"/>
      <c r="C54" s="607" t="s">
        <v>56</v>
      </c>
      <c r="D54" s="607"/>
      <c r="E54" s="607"/>
      <c r="F54" s="607"/>
      <c r="G54" s="607"/>
      <c r="H54" s="607"/>
      <c r="I54" s="607"/>
      <c r="J54" s="607"/>
      <c r="K54" s="607"/>
      <c r="L54" s="607"/>
      <c r="M54" s="607"/>
      <c r="N54" s="607" t="s">
        <v>409</v>
      </c>
      <c r="P54" s="690"/>
      <c r="Q54" s="686" t="s">
        <v>315</v>
      </c>
      <c r="R54" s="612"/>
      <c r="S54" s="607"/>
      <c r="T54" s="607"/>
      <c r="U54" s="607"/>
      <c r="V54" s="607"/>
      <c r="W54" s="607"/>
      <c r="X54" s="607"/>
    </row>
    <row r="55" spans="1:24">
      <c r="A55" s="607"/>
      <c r="B55" s="607"/>
      <c r="C55" s="623" t="s">
        <v>80</v>
      </c>
      <c r="D55" s="607"/>
      <c r="E55" s="607"/>
      <c r="F55" s="607"/>
      <c r="G55" s="607"/>
      <c r="H55" s="607"/>
      <c r="I55" s="607"/>
      <c r="J55" s="607"/>
      <c r="K55" s="607"/>
      <c r="L55" s="607"/>
      <c r="M55" s="607"/>
      <c r="N55" s="607" t="s">
        <v>409</v>
      </c>
      <c r="P55" s="690"/>
      <c r="Q55" s="686" t="s">
        <v>316</v>
      </c>
      <c r="R55" s="612"/>
      <c r="S55" s="607"/>
      <c r="T55" s="607"/>
      <c r="U55" s="607"/>
      <c r="V55" s="607"/>
      <c r="W55" s="607"/>
      <c r="X55" s="607"/>
    </row>
    <row r="56" spans="1:24">
      <c r="A56" s="607"/>
      <c r="B56" s="607"/>
      <c r="C56" s="623" t="s">
        <v>74</v>
      </c>
      <c r="D56" s="607"/>
      <c r="E56" s="607"/>
      <c r="F56" s="607"/>
      <c r="G56" s="607"/>
      <c r="H56" s="607"/>
      <c r="I56" s="607"/>
      <c r="J56" s="607"/>
      <c r="K56" s="607"/>
      <c r="L56" s="607"/>
      <c r="M56" s="607"/>
      <c r="N56" s="607" t="s">
        <v>409</v>
      </c>
      <c r="P56" s="690"/>
      <c r="Q56" s="686" t="s">
        <v>317</v>
      </c>
      <c r="R56" s="612"/>
      <c r="S56" s="607"/>
      <c r="T56" s="607"/>
      <c r="U56" s="607"/>
      <c r="V56" s="607"/>
      <c r="W56" s="607"/>
      <c r="X56" s="607"/>
    </row>
    <row r="57" spans="1:24">
      <c r="A57" s="607"/>
      <c r="B57" s="607"/>
      <c r="C57" s="607" t="s">
        <v>94</v>
      </c>
      <c r="D57" s="607"/>
      <c r="E57" s="607"/>
      <c r="F57" s="607"/>
      <c r="G57" s="607"/>
      <c r="H57" s="607"/>
      <c r="I57" s="607"/>
      <c r="J57" s="607"/>
      <c r="K57" s="607"/>
      <c r="L57" s="607"/>
      <c r="M57" s="607"/>
      <c r="N57" s="607" t="s">
        <v>409</v>
      </c>
      <c r="P57" s="690"/>
      <c r="Q57" s="686" t="s">
        <v>318</v>
      </c>
      <c r="R57" s="612"/>
      <c r="S57" s="607"/>
      <c r="T57" s="607"/>
      <c r="U57" s="607"/>
      <c r="V57" s="607"/>
      <c r="W57" s="607"/>
      <c r="X57" s="607"/>
    </row>
    <row r="58" spans="1:24">
      <c r="A58" s="607"/>
      <c r="B58" s="607"/>
      <c r="C58" s="607" t="s">
        <v>1157</v>
      </c>
      <c r="D58" s="607"/>
      <c r="E58" s="607"/>
      <c r="F58" s="607"/>
      <c r="G58" s="607"/>
      <c r="H58" s="607"/>
      <c r="I58" s="607"/>
      <c r="J58" s="607"/>
      <c r="K58" s="607"/>
      <c r="L58" s="607"/>
      <c r="M58" s="607"/>
      <c r="N58" s="607" t="s">
        <v>409</v>
      </c>
      <c r="P58" s="690"/>
      <c r="Q58" s="686" t="s">
        <v>319</v>
      </c>
      <c r="R58" s="612"/>
      <c r="S58" s="607"/>
      <c r="T58" s="607"/>
      <c r="U58" s="607"/>
      <c r="V58" s="607"/>
      <c r="W58" s="607"/>
      <c r="X58" s="607"/>
    </row>
    <row r="59" spans="1:24">
      <c r="A59" s="607"/>
      <c r="B59" s="607"/>
      <c r="C59" s="607" t="s">
        <v>1158</v>
      </c>
      <c r="D59" s="607"/>
      <c r="E59" s="607"/>
      <c r="F59" s="607"/>
      <c r="G59" s="607"/>
      <c r="H59" s="607"/>
      <c r="I59" s="607"/>
      <c r="J59" s="607"/>
      <c r="K59" s="607"/>
      <c r="L59" s="607"/>
      <c r="M59" s="607"/>
      <c r="N59" s="607" t="s">
        <v>409</v>
      </c>
      <c r="P59" s="690"/>
      <c r="Q59" s="686" t="s">
        <v>320</v>
      </c>
      <c r="R59" s="612"/>
      <c r="S59" s="607"/>
      <c r="T59" s="607"/>
      <c r="U59" s="607"/>
      <c r="V59" s="607"/>
      <c r="W59" s="607"/>
      <c r="X59" s="607"/>
    </row>
    <row r="60" spans="1:24">
      <c r="P60" s="690"/>
      <c r="Q60" s="686" t="s">
        <v>321</v>
      </c>
      <c r="R60" s="612"/>
      <c r="S60" s="607"/>
      <c r="T60" s="607"/>
      <c r="U60" s="607"/>
      <c r="V60" s="607"/>
      <c r="W60" s="607"/>
      <c r="X60" s="607"/>
    </row>
    <row r="61" spans="1:24">
      <c r="P61" s="690"/>
      <c r="Q61" s="686" t="s">
        <v>322</v>
      </c>
      <c r="R61" s="496"/>
      <c r="S61" s="607"/>
      <c r="T61" s="607"/>
      <c r="U61" s="607"/>
      <c r="V61" s="607"/>
      <c r="W61" s="607"/>
      <c r="X61" s="607"/>
    </row>
    <row r="62" spans="1:24">
      <c r="P62" s="690"/>
      <c r="U62" s="607"/>
      <c r="V62" s="607"/>
      <c r="W62" s="607"/>
      <c r="X62" s="607"/>
    </row>
    <row r="63" spans="1:24">
      <c r="P63" s="690"/>
      <c r="Q63" s="497" t="s">
        <v>535</v>
      </c>
      <c r="R63" s="392"/>
      <c r="S63" s="607"/>
      <c r="T63" s="607"/>
      <c r="U63" s="607"/>
      <c r="V63" s="607"/>
      <c r="W63" s="607"/>
      <c r="X63" s="607"/>
    </row>
    <row r="64" spans="1:24">
      <c r="P64" s="690"/>
      <c r="Q64" s="679" t="s">
        <v>1376</v>
      </c>
      <c r="S64" s="607"/>
      <c r="T64" s="607"/>
      <c r="U64" s="607"/>
      <c r="V64" s="607"/>
      <c r="W64" s="607"/>
      <c r="X64" s="607"/>
    </row>
    <row r="65" spans="17:24">
      <c r="Q65" s="679"/>
      <c r="S65" s="607"/>
      <c r="T65" s="607"/>
      <c r="U65" s="607"/>
      <c r="V65" s="607"/>
      <c r="W65" s="607"/>
      <c r="X65" s="607"/>
    </row>
  </sheetData>
  <mergeCells count="2">
    <mergeCell ref="C20:L20"/>
    <mergeCell ref="Q9:X9"/>
  </mergeCells>
  <dataValidations disablePrompts="1" count="2">
    <dataValidation type="list" allowBlank="1" showInputMessage="1" showErrorMessage="1" sqref="N10 N20 N43" xr:uid="{00000000-0002-0000-1600-000000000000}">
      <formula1>choix</formula1>
    </dataValidation>
    <dataValidation type="list" allowBlank="1" showInputMessage="1" showErrorMessage="1" sqref="B21:B40 B11:B16 B44:B48 Q21:Q40 Q43:Q47 Q13:Q15 Q17:Q18" xr:uid="{00000000-0002-0000-1600-000001000000}">
      <formula1>Choix_capacité</formula1>
    </dataValidation>
  </dataValidations>
  <pageMargins left="0.7" right="0.7" top="0.75" bottom="0.75" header="0.3" footer="0.3"/>
  <pageSetup paperSize="9" scale="25" orientation="portrait" verticalDpi="0"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4">
    <tabColor theme="6"/>
  </sheetPr>
  <dimension ref="A3:O55"/>
  <sheetViews>
    <sheetView zoomScale="80" zoomScaleNormal="80" workbookViewId="0"/>
  </sheetViews>
  <sheetFormatPr baseColWidth="10" defaultRowHeight="15"/>
  <cols>
    <col min="2" max="2" width="13.6640625" customWidth="1"/>
    <col min="3" max="3" width="15.6640625" customWidth="1"/>
    <col min="11" max="12" width="13.5" bestFit="1" customWidth="1"/>
    <col min="14" max="14" width="11.5" style="238"/>
    <col min="19" max="19" width="16.1640625" customWidth="1"/>
    <col min="26" max="26" width="17.5" customWidth="1"/>
  </cols>
  <sheetData>
    <row r="3" spans="1:15" ht="16" thickBot="1"/>
    <row r="4" spans="1:15" ht="19">
      <c r="B4" s="271" t="s">
        <v>110</v>
      </c>
      <c r="C4" s="228" t="s">
        <v>126</v>
      </c>
      <c r="D4" s="229" t="s">
        <v>89</v>
      </c>
      <c r="E4" s="227" t="s">
        <v>88</v>
      </c>
    </row>
    <row r="5" spans="1:15">
      <c r="C5" s="230" t="s">
        <v>55</v>
      </c>
      <c r="D5" s="231">
        <v>1</v>
      </c>
    </row>
    <row r="6" spans="1:15" ht="16" thickBot="1">
      <c r="C6" s="232" t="s">
        <v>62</v>
      </c>
      <c r="D6" s="261">
        <v>16</v>
      </c>
    </row>
    <row r="7" spans="1:15" ht="16" thickBot="1">
      <c r="N7"/>
    </row>
    <row r="8" spans="1:15" ht="49" thickBot="1">
      <c r="A8" s="283" t="s">
        <v>79</v>
      </c>
      <c r="K8" s="320" t="s">
        <v>125</v>
      </c>
      <c r="L8" s="320" t="s">
        <v>408</v>
      </c>
      <c r="N8"/>
    </row>
    <row r="9" spans="1:15" ht="16" thickBot="1">
      <c r="N9"/>
    </row>
    <row r="10" spans="1:15" ht="17" thickBot="1">
      <c r="A10" s="323" t="s">
        <v>127</v>
      </c>
      <c r="B10" s="234"/>
      <c r="C10" s="1038" t="s">
        <v>144</v>
      </c>
      <c r="D10" s="1039"/>
      <c r="E10" s="1039"/>
      <c r="F10" s="1039"/>
      <c r="G10" s="1039"/>
      <c r="H10" s="1039"/>
      <c r="I10" s="1039"/>
      <c r="J10" s="1039"/>
      <c r="K10" s="241">
        <v>3</v>
      </c>
      <c r="L10" s="321"/>
      <c r="N10" s="297" t="s">
        <v>183</v>
      </c>
      <c r="O10" s="294"/>
    </row>
    <row r="11" spans="1:15">
      <c r="B11" s="242" t="s">
        <v>410</v>
      </c>
      <c r="K11" s="225"/>
      <c r="N11" s="289"/>
    </row>
    <row r="12" spans="1:15">
      <c r="B12" s="242" t="s">
        <v>410</v>
      </c>
      <c r="K12" s="225"/>
      <c r="N12" s="288" t="s">
        <v>176</v>
      </c>
    </row>
    <row r="13" spans="1:15">
      <c r="B13" s="242" t="s">
        <v>410</v>
      </c>
      <c r="K13" s="225"/>
      <c r="N13" s="288" t="s">
        <v>224</v>
      </c>
    </row>
    <row r="14" spans="1:15">
      <c r="B14" s="242" t="s">
        <v>411</v>
      </c>
      <c r="K14" s="225"/>
      <c r="N14" s="290" t="s">
        <v>323</v>
      </c>
    </row>
    <row r="15" spans="1:15">
      <c r="B15" s="242" t="s">
        <v>411</v>
      </c>
      <c r="N15" s="301" t="s">
        <v>202</v>
      </c>
    </row>
    <row r="16" spans="1:15">
      <c r="B16" s="242" t="s">
        <v>411</v>
      </c>
      <c r="N16" s="290" t="s">
        <v>323</v>
      </c>
    </row>
    <row r="17" spans="1:14">
      <c r="B17" s="242" t="s">
        <v>130</v>
      </c>
      <c r="N17" s="300"/>
    </row>
    <row r="18" spans="1:14">
      <c r="N18" s="288" t="s">
        <v>186</v>
      </c>
    </row>
    <row r="19" spans="1:14">
      <c r="A19" s="283" t="s">
        <v>78</v>
      </c>
      <c r="N19" s="289" t="s">
        <v>324</v>
      </c>
    </row>
    <row r="20" spans="1:14" ht="16" thickBot="1">
      <c r="K20" s="225"/>
      <c r="N20" s="290" t="s">
        <v>325</v>
      </c>
    </row>
    <row r="21" spans="1:14" ht="17" thickBot="1">
      <c r="A21" s="323" t="s">
        <v>128</v>
      </c>
      <c r="B21" s="234"/>
      <c r="C21" s="1038" t="s">
        <v>94</v>
      </c>
      <c r="D21" s="1039"/>
      <c r="E21" s="1039"/>
      <c r="F21" s="1039"/>
      <c r="G21" s="1039"/>
      <c r="H21" s="1039"/>
      <c r="I21" s="1039"/>
      <c r="J21" s="1039"/>
      <c r="K21" s="241">
        <v>2</v>
      </c>
      <c r="L21" s="321"/>
      <c r="N21" s="310" t="s">
        <v>326</v>
      </c>
    </row>
    <row r="22" spans="1:14">
      <c r="B22" s="242" t="s">
        <v>410</v>
      </c>
      <c r="K22" s="225"/>
      <c r="N22" s="310" t="s">
        <v>327</v>
      </c>
    </row>
    <row r="23" spans="1:14">
      <c r="B23" s="242" t="s">
        <v>410</v>
      </c>
      <c r="K23" s="225"/>
      <c r="N23" s="310" t="s">
        <v>328</v>
      </c>
    </row>
    <row r="24" spans="1:14">
      <c r="B24" s="242" t="s">
        <v>410</v>
      </c>
      <c r="K24" s="225"/>
      <c r="N24" s="310" t="s">
        <v>329</v>
      </c>
    </row>
    <row r="25" spans="1:14">
      <c r="B25" s="242" t="s">
        <v>411</v>
      </c>
      <c r="K25" s="225"/>
      <c r="N25" s="290" t="s">
        <v>330</v>
      </c>
    </row>
    <row r="26" spans="1:14">
      <c r="B26" s="242" t="s">
        <v>411</v>
      </c>
      <c r="N26" s="310" t="s">
        <v>331</v>
      </c>
    </row>
    <row r="27" spans="1:14">
      <c r="B27" s="242" t="s">
        <v>411</v>
      </c>
      <c r="N27" s="311" t="s">
        <v>332</v>
      </c>
    </row>
    <row r="28" spans="1:14">
      <c r="B28" s="242" t="s">
        <v>130</v>
      </c>
      <c r="N28" s="311" t="s">
        <v>333</v>
      </c>
    </row>
    <row r="29" spans="1:14" ht="16" thickBot="1">
      <c r="M29" s="238"/>
      <c r="N29" s="311" t="s">
        <v>334</v>
      </c>
    </row>
    <row r="30" spans="1:14" ht="17" thickBot="1">
      <c r="A30" s="323" t="s">
        <v>129</v>
      </c>
      <c r="B30" s="234"/>
      <c r="C30" s="1038" t="s">
        <v>76</v>
      </c>
      <c r="D30" s="1039"/>
      <c r="E30" s="1039"/>
      <c r="F30" s="1039"/>
      <c r="G30" s="1039"/>
      <c r="H30" s="1039"/>
      <c r="I30" s="1039"/>
      <c r="J30" s="1039"/>
      <c r="K30" s="241">
        <v>3</v>
      </c>
      <c r="L30" s="321"/>
      <c r="N30" s="310" t="s">
        <v>335</v>
      </c>
    </row>
    <row r="31" spans="1:14">
      <c r="B31" s="242" t="s">
        <v>410</v>
      </c>
      <c r="K31" s="225"/>
      <c r="N31" s="312" t="s">
        <v>336</v>
      </c>
    </row>
    <row r="32" spans="1:14">
      <c r="B32" s="242" t="s">
        <v>410</v>
      </c>
      <c r="K32" s="225"/>
      <c r="N32" s="312" t="s">
        <v>337</v>
      </c>
    </row>
    <row r="33" spans="1:14">
      <c r="B33" s="242" t="s">
        <v>410</v>
      </c>
      <c r="K33" s="225"/>
      <c r="N33" s="312" t="s">
        <v>338</v>
      </c>
    </row>
    <row r="34" spans="1:14">
      <c r="B34" s="242" t="s">
        <v>411</v>
      </c>
      <c r="K34" s="225"/>
      <c r="N34" s="312" t="s">
        <v>339</v>
      </c>
    </row>
    <row r="35" spans="1:14">
      <c r="B35" s="242" t="s">
        <v>411</v>
      </c>
      <c r="N35" s="310" t="s">
        <v>340</v>
      </c>
    </row>
    <row r="36" spans="1:14">
      <c r="B36" s="242" t="s">
        <v>411</v>
      </c>
      <c r="N36" s="312" t="s">
        <v>341</v>
      </c>
    </row>
    <row r="37" spans="1:14">
      <c r="B37" s="242" t="s">
        <v>130</v>
      </c>
      <c r="N37" s="312" t="s">
        <v>342</v>
      </c>
    </row>
    <row r="38" spans="1:14" ht="16" thickBot="1">
      <c r="N38" s="312" t="s">
        <v>343</v>
      </c>
    </row>
    <row r="39" spans="1:14" ht="17" thickBot="1">
      <c r="A39" s="323" t="s">
        <v>140</v>
      </c>
      <c r="B39" s="234"/>
      <c r="C39" s="1038" t="s">
        <v>75</v>
      </c>
      <c r="D39" s="1039"/>
      <c r="E39" s="1039"/>
      <c r="F39" s="1039"/>
      <c r="G39" s="1039"/>
      <c r="H39" s="1039"/>
      <c r="I39" s="1039"/>
      <c r="J39" s="1039"/>
      <c r="K39" s="241">
        <v>3</v>
      </c>
      <c r="L39" s="321"/>
    </row>
    <row r="40" spans="1:14">
      <c r="B40" s="242" t="s">
        <v>410</v>
      </c>
      <c r="K40" s="225"/>
    </row>
    <row r="41" spans="1:14">
      <c r="B41" s="242" t="s">
        <v>410</v>
      </c>
      <c r="K41" s="225"/>
    </row>
    <row r="42" spans="1:14">
      <c r="B42" s="242" t="s">
        <v>410</v>
      </c>
      <c r="K42" s="225"/>
    </row>
    <row r="43" spans="1:14">
      <c r="B43" s="242" t="s">
        <v>411</v>
      </c>
      <c r="K43" s="225"/>
    </row>
    <row r="44" spans="1:14">
      <c r="B44" s="242" t="s">
        <v>411</v>
      </c>
    </row>
    <row r="45" spans="1:14">
      <c r="B45" s="242" t="s">
        <v>411</v>
      </c>
    </row>
    <row r="46" spans="1:14">
      <c r="B46" s="242" t="s">
        <v>130</v>
      </c>
    </row>
    <row r="47" spans="1:14" ht="16" thickBot="1"/>
    <row r="48" spans="1:14" ht="17" thickBot="1">
      <c r="A48" s="323" t="s">
        <v>141</v>
      </c>
      <c r="B48" s="234"/>
      <c r="C48" s="1038" t="s">
        <v>95</v>
      </c>
      <c r="D48" s="1039"/>
      <c r="E48" s="1039"/>
      <c r="F48" s="1039"/>
      <c r="G48" s="1039"/>
      <c r="H48" s="1039"/>
      <c r="I48" s="1039"/>
      <c r="J48" s="1039"/>
      <c r="K48" s="241">
        <v>2</v>
      </c>
      <c r="L48" s="321"/>
    </row>
    <row r="49" spans="2:11">
      <c r="B49" s="242" t="s">
        <v>410</v>
      </c>
      <c r="K49" s="225"/>
    </row>
    <row r="50" spans="2:11">
      <c r="B50" s="242" t="s">
        <v>410</v>
      </c>
      <c r="K50" s="225"/>
    </row>
    <row r="51" spans="2:11">
      <c r="B51" s="242" t="s">
        <v>410</v>
      </c>
    </row>
    <row r="52" spans="2:11">
      <c r="B52" s="242" t="s">
        <v>411</v>
      </c>
    </row>
    <row r="53" spans="2:11">
      <c r="B53" s="242" t="s">
        <v>411</v>
      </c>
    </row>
    <row r="54" spans="2:11">
      <c r="B54" s="242" t="s">
        <v>411</v>
      </c>
    </row>
    <row r="55" spans="2:11">
      <c r="B55" s="242" t="s">
        <v>130</v>
      </c>
    </row>
  </sheetData>
  <mergeCells count="5">
    <mergeCell ref="C30:J30"/>
    <mergeCell ref="C39:J39"/>
    <mergeCell ref="C48:J48"/>
    <mergeCell ref="C10:J10"/>
    <mergeCell ref="C21:J21"/>
  </mergeCells>
  <dataValidations count="2">
    <dataValidation type="list" allowBlank="1" showInputMessage="1" showErrorMessage="1" sqref="L10 L21 L30 L39 L48" xr:uid="{00000000-0002-0000-1700-000000000000}">
      <formula1>choix</formula1>
    </dataValidation>
    <dataValidation type="list" allowBlank="1" showInputMessage="1" showErrorMessage="1" sqref="B11:B16 B22:B27 B31:B36 B40:B45 B49:B54" xr:uid="{00000000-0002-0000-1700-000001000000}">
      <formula1>Choix_capacité</formula1>
    </dataValidation>
  </dataValidations>
  <pageMargins left="0.7" right="0.7" top="0.75" bottom="0.75" header="0.3" footer="0.3"/>
  <pageSetup paperSize="9" orientation="portrait" verticalDpi="0"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5">
    <tabColor theme="4"/>
    <pageSetUpPr fitToPage="1"/>
  </sheetPr>
  <dimension ref="A3:Y53"/>
  <sheetViews>
    <sheetView zoomScale="80" zoomScaleNormal="80" workbookViewId="0">
      <selection activeCell="O4" sqref="O4:X34"/>
    </sheetView>
  </sheetViews>
  <sheetFormatPr baseColWidth="10" defaultRowHeight="15"/>
  <cols>
    <col min="2" max="2" width="13.6640625" customWidth="1"/>
    <col min="3" max="3" width="15.5" customWidth="1"/>
    <col min="12" max="13" width="13.5" bestFit="1" customWidth="1"/>
    <col min="15" max="15" width="16.6640625" customWidth="1"/>
    <col min="16" max="16" width="17.6640625" style="238" customWidth="1"/>
    <col min="21" max="21" width="23.5" customWidth="1"/>
    <col min="28" max="28" width="17.5" customWidth="1"/>
  </cols>
  <sheetData>
    <row r="3" spans="1:25" ht="16" thickBot="1"/>
    <row r="4" spans="1:25" ht="19">
      <c r="B4" s="272" t="s">
        <v>112</v>
      </c>
      <c r="C4" s="228" t="s">
        <v>126</v>
      </c>
      <c r="D4" s="229" t="s">
        <v>42</v>
      </c>
      <c r="E4" s="227" t="s">
        <v>41</v>
      </c>
      <c r="O4" s="272" t="s">
        <v>112</v>
      </c>
      <c r="P4" s="228" t="s">
        <v>126</v>
      </c>
      <c r="Q4" s="229" t="s">
        <v>42</v>
      </c>
      <c r="R4" s="671" t="s">
        <v>41</v>
      </c>
      <c r="S4" s="983"/>
    </row>
    <row r="5" spans="1:25">
      <c r="C5" s="230" t="s">
        <v>55</v>
      </c>
      <c r="D5" s="231">
        <v>4</v>
      </c>
      <c r="O5" s="983"/>
      <c r="P5" s="230" t="s">
        <v>55</v>
      </c>
      <c r="Q5" s="231">
        <v>4</v>
      </c>
      <c r="R5" s="983"/>
      <c r="S5" s="983"/>
    </row>
    <row r="6" spans="1:25" ht="16" thickBot="1">
      <c r="C6" s="232" t="s">
        <v>62</v>
      </c>
      <c r="D6" s="261">
        <v>46</v>
      </c>
      <c r="O6" s="983"/>
      <c r="P6" s="232" t="s">
        <v>62</v>
      </c>
      <c r="Q6" s="986">
        <v>46</v>
      </c>
      <c r="R6" s="983"/>
      <c r="S6" s="983"/>
    </row>
    <row r="7" spans="1:25" ht="16" thickBot="1">
      <c r="P7"/>
    </row>
    <row r="8" spans="1:25" ht="49" thickBot="1">
      <c r="L8" s="320" t="s">
        <v>125</v>
      </c>
      <c r="M8" s="320" t="s">
        <v>408</v>
      </c>
      <c r="P8"/>
    </row>
    <row r="9" spans="1:25" ht="17" thickBot="1">
      <c r="O9" s="1075" t="s">
        <v>567</v>
      </c>
      <c r="P9" s="1042"/>
      <c r="Q9" s="1042"/>
      <c r="R9" s="1042"/>
      <c r="S9" s="1042"/>
      <c r="T9" s="1042"/>
      <c r="U9" s="1042"/>
      <c r="V9" s="1042"/>
      <c r="W9" s="680"/>
      <c r="X9" s="680"/>
      <c r="Y9" s="680"/>
    </row>
    <row r="10" spans="1:25" ht="17" thickBot="1">
      <c r="A10" s="323" t="s">
        <v>127</v>
      </c>
      <c r="B10" s="234"/>
      <c r="C10" s="1038" t="s">
        <v>71</v>
      </c>
      <c r="D10" s="1039"/>
      <c r="E10" s="1039"/>
      <c r="F10" s="1039"/>
      <c r="G10" s="1039"/>
      <c r="H10" s="1039"/>
      <c r="I10" s="1039"/>
      <c r="J10" s="1039"/>
      <c r="K10" s="1039"/>
      <c r="L10" s="241">
        <v>2</v>
      </c>
      <c r="M10" s="321" t="s">
        <v>407</v>
      </c>
      <c r="O10" s="702"/>
      <c r="P10" s="781"/>
      <c r="Q10" s="781"/>
      <c r="R10" s="781"/>
      <c r="S10" s="781"/>
      <c r="T10" s="781"/>
      <c r="U10" s="781"/>
      <c r="V10" s="680"/>
      <c r="W10" s="680"/>
      <c r="X10" s="680"/>
      <c r="Y10" s="680"/>
    </row>
    <row r="11" spans="1:25" ht="16">
      <c r="B11" s="242" t="s">
        <v>410</v>
      </c>
      <c r="C11" s="1065" t="s">
        <v>1377</v>
      </c>
      <c r="D11" s="1065"/>
      <c r="E11" s="1065"/>
      <c r="F11" s="1065"/>
      <c r="G11" s="1065"/>
      <c r="H11" s="1065"/>
      <c r="I11" s="1065"/>
      <c r="J11" s="1065"/>
      <c r="K11" s="1065"/>
      <c r="L11" s="670"/>
      <c r="M11" s="838"/>
      <c r="O11" s="802" t="s">
        <v>784</v>
      </c>
      <c r="P11" s="781"/>
      <c r="Q11" s="781"/>
      <c r="R11" s="781"/>
      <c r="S11" s="781"/>
      <c r="T11" s="781"/>
      <c r="U11" s="781"/>
      <c r="V11" s="680"/>
      <c r="W11" s="680"/>
      <c r="X11" s="680"/>
      <c r="Y11" s="680"/>
    </row>
    <row r="12" spans="1:25">
      <c r="B12" s="242" t="s">
        <v>410</v>
      </c>
      <c r="C12" s="1060" t="s">
        <v>156</v>
      </c>
      <c r="D12" s="1060"/>
      <c r="E12" s="1060"/>
      <c r="F12" s="1060"/>
      <c r="G12" s="1060"/>
      <c r="H12" s="1060"/>
      <c r="I12" s="1060"/>
      <c r="J12" s="1060"/>
      <c r="K12" s="1060"/>
      <c r="L12" s="670"/>
      <c r="M12" s="838"/>
      <c r="O12" s="783" t="s">
        <v>71</v>
      </c>
      <c r="P12" s="179"/>
      <c r="Q12" s="179"/>
      <c r="R12" s="179"/>
      <c r="S12" s="680"/>
      <c r="T12" s="680"/>
      <c r="U12" s="680"/>
      <c r="V12" s="680"/>
      <c r="W12" s="680"/>
      <c r="X12" s="680"/>
      <c r="Y12" s="680"/>
    </row>
    <row r="13" spans="1:25">
      <c r="B13" s="242" t="s">
        <v>410</v>
      </c>
      <c r="C13" s="1060" t="s">
        <v>1378</v>
      </c>
      <c r="D13" s="1060"/>
      <c r="E13" s="1060"/>
      <c r="F13" s="1060"/>
      <c r="G13" s="1060"/>
      <c r="H13" s="1060"/>
      <c r="I13" s="1060"/>
      <c r="J13" s="1060"/>
      <c r="K13" s="1060"/>
      <c r="L13" s="670"/>
      <c r="M13" s="838"/>
      <c r="O13" s="803" t="s">
        <v>410</v>
      </c>
      <c r="P13" s="1060" t="s">
        <v>1377</v>
      </c>
      <c r="Q13" s="1060"/>
      <c r="R13" s="1060"/>
      <c r="S13" s="1060"/>
      <c r="T13" s="1060"/>
      <c r="U13" s="1060"/>
      <c r="V13" s="1060"/>
      <c r="W13" s="1060"/>
      <c r="X13" s="1060"/>
      <c r="Y13" s="680"/>
    </row>
    <row r="14" spans="1:25">
      <c r="B14" s="242" t="s">
        <v>411</v>
      </c>
      <c r="C14" s="1053" t="s">
        <v>1379</v>
      </c>
      <c r="D14" s="1053"/>
      <c r="E14" s="1053"/>
      <c r="F14" s="1053"/>
      <c r="G14" s="1053"/>
      <c r="H14" s="1053"/>
      <c r="I14" s="1053"/>
      <c r="J14" s="1053"/>
      <c r="K14" s="1053"/>
      <c r="L14" s="670"/>
      <c r="M14" s="838"/>
      <c r="O14" s="803" t="s">
        <v>410</v>
      </c>
      <c r="P14" s="1060" t="s">
        <v>156</v>
      </c>
      <c r="Q14" s="1060"/>
      <c r="R14" s="1060"/>
      <c r="S14" s="1060"/>
      <c r="T14" s="1060"/>
      <c r="U14" s="1060"/>
      <c r="V14" s="1060"/>
      <c r="W14" s="1060"/>
      <c r="X14" s="1060"/>
      <c r="Y14" s="680"/>
    </row>
    <row r="15" spans="1:25" ht="15" customHeight="1">
      <c r="B15" s="242" t="s">
        <v>411</v>
      </c>
      <c r="C15" s="1055" t="s">
        <v>1380</v>
      </c>
      <c r="D15" s="1055"/>
      <c r="E15" s="1055"/>
      <c r="F15" s="1055"/>
      <c r="G15" s="1055"/>
      <c r="H15" s="1055"/>
      <c r="I15" s="1055"/>
      <c r="J15" s="1055"/>
      <c r="K15" s="1055"/>
      <c r="L15" s="670"/>
      <c r="M15" s="838"/>
      <c r="O15" s="803" t="s">
        <v>410</v>
      </c>
      <c r="P15" s="1060" t="s">
        <v>1378</v>
      </c>
      <c r="Q15" s="1060"/>
      <c r="R15" s="1060"/>
      <c r="S15" s="1060"/>
      <c r="T15" s="1060"/>
      <c r="U15" s="1060"/>
      <c r="V15" s="1060"/>
      <c r="W15" s="1060"/>
      <c r="X15" s="1060"/>
      <c r="Y15" s="680"/>
    </row>
    <row r="16" spans="1:25">
      <c r="B16" s="242" t="s">
        <v>411</v>
      </c>
      <c r="C16" s="1083" t="s">
        <v>1381</v>
      </c>
      <c r="D16" s="1083"/>
      <c r="E16" s="1083"/>
      <c r="F16" s="1083"/>
      <c r="G16" s="1083"/>
      <c r="H16" s="1083"/>
      <c r="I16" s="1083"/>
      <c r="J16" s="1083"/>
      <c r="K16" s="1083"/>
      <c r="L16" s="670"/>
      <c r="M16" s="838"/>
      <c r="O16" s="803" t="s">
        <v>411</v>
      </c>
      <c r="P16" s="1053" t="s">
        <v>1379</v>
      </c>
      <c r="Q16" s="1053"/>
      <c r="R16" s="1053"/>
      <c r="S16" s="1053"/>
      <c r="T16" s="1053"/>
      <c r="U16" s="1053"/>
      <c r="V16" s="1053"/>
      <c r="W16" s="1053"/>
      <c r="X16" s="1053"/>
      <c r="Y16" s="839"/>
    </row>
    <row r="17" spans="1:25">
      <c r="B17" s="242" t="s">
        <v>130</v>
      </c>
      <c r="C17" s="841" t="s">
        <v>1382</v>
      </c>
      <c r="D17" s="841"/>
      <c r="E17" s="841"/>
      <c r="F17" s="841"/>
      <c r="G17" s="841"/>
      <c r="H17" s="841"/>
      <c r="I17" s="841"/>
      <c r="J17" s="841"/>
      <c r="K17" s="841"/>
      <c r="L17" s="841"/>
      <c r="M17" s="841"/>
      <c r="O17" s="803" t="s">
        <v>411</v>
      </c>
      <c r="P17" s="1055" t="s">
        <v>1380</v>
      </c>
      <c r="Q17" s="1055"/>
      <c r="R17" s="1055"/>
      <c r="S17" s="1055"/>
      <c r="T17" s="1055"/>
      <c r="U17" s="1055"/>
      <c r="V17" s="1055"/>
      <c r="W17" s="1055"/>
      <c r="X17" s="1055"/>
      <c r="Y17" s="794"/>
    </row>
    <row r="18" spans="1:25" ht="16" thickBot="1">
      <c r="O18" s="803" t="s">
        <v>411</v>
      </c>
      <c r="P18" s="1083" t="s">
        <v>1381</v>
      </c>
      <c r="Q18" s="1083"/>
      <c r="R18" s="1083"/>
      <c r="S18" s="1083"/>
      <c r="T18" s="1083"/>
      <c r="U18" s="1083"/>
      <c r="V18" s="1083"/>
      <c r="W18" s="1083"/>
      <c r="X18" s="1083"/>
      <c r="Y18" s="680"/>
    </row>
    <row r="19" spans="1:25" ht="17" thickBot="1">
      <c r="A19" s="323" t="s">
        <v>128</v>
      </c>
      <c r="B19" s="278"/>
      <c r="C19" s="262" t="s">
        <v>479</v>
      </c>
      <c r="D19" s="263"/>
      <c r="E19" s="263"/>
      <c r="F19" s="263"/>
      <c r="G19" s="263"/>
      <c r="H19" s="263"/>
      <c r="I19" s="263"/>
      <c r="J19" s="263"/>
      <c r="K19" s="263"/>
      <c r="L19" s="279">
        <v>3</v>
      </c>
      <c r="M19" s="321" t="s">
        <v>407</v>
      </c>
      <c r="N19" s="840"/>
      <c r="X19" s="680"/>
      <c r="Y19" s="680"/>
    </row>
    <row r="20" spans="1:25" ht="15" customHeight="1">
      <c r="B20" s="242" t="s">
        <v>410</v>
      </c>
      <c r="C20" s="1065" t="s">
        <v>1383</v>
      </c>
      <c r="D20" s="1065"/>
      <c r="E20" s="1065"/>
      <c r="F20" s="1065"/>
      <c r="G20" s="1065"/>
      <c r="H20" s="1065"/>
      <c r="I20" s="1065"/>
      <c r="J20" s="1065"/>
      <c r="K20" s="1065"/>
      <c r="L20" s="225"/>
      <c r="M20" s="225"/>
      <c r="O20" s="783" t="s">
        <v>479</v>
      </c>
      <c r="P20" s="781"/>
      <c r="Q20" s="680"/>
      <c r="R20" s="680"/>
      <c r="S20" s="680"/>
      <c r="T20" s="680"/>
      <c r="U20" s="680"/>
      <c r="V20" s="680"/>
      <c r="W20" s="680"/>
      <c r="X20" s="798"/>
      <c r="Y20" s="798"/>
    </row>
    <row r="21" spans="1:25">
      <c r="B21" s="242" t="s">
        <v>410</v>
      </c>
      <c r="C21" s="1060" t="s">
        <v>1384</v>
      </c>
      <c r="D21" s="1060"/>
      <c r="E21" s="1060"/>
      <c r="F21" s="1060"/>
      <c r="G21" s="1060"/>
      <c r="H21" s="1060"/>
      <c r="I21" s="1060"/>
      <c r="J21" s="1060"/>
      <c r="K21" s="1060"/>
      <c r="L21" s="225"/>
      <c r="M21" s="225"/>
      <c r="O21" s="803" t="s">
        <v>410</v>
      </c>
      <c r="P21" s="1060" t="s">
        <v>1383</v>
      </c>
      <c r="Q21" s="1060"/>
      <c r="R21" s="1060"/>
      <c r="S21" s="1060"/>
      <c r="T21" s="1060"/>
      <c r="U21" s="1060"/>
      <c r="V21" s="1060"/>
      <c r="W21" s="1060"/>
      <c r="X21" s="1060"/>
      <c r="Y21" s="798"/>
    </row>
    <row r="22" spans="1:25" ht="15" customHeight="1">
      <c r="B22" s="242" t="s">
        <v>411</v>
      </c>
      <c r="C22" s="1055" t="s">
        <v>1385</v>
      </c>
      <c r="D22" s="1055"/>
      <c r="E22" s="1055"/>
      <c r="F22" s="1055"/>
      <c r="G22" s="1055"/>
      <c r="H22" s="1055"/>
      <c r="I22" s="1055"/>
      <c r="J22" s="1055"/>
      <c r="K22" s="1055"/>
      <c r="L22" s="225"/>
      <c r="M22" s="225"/>
      <c r="O22" s="803" t="s">
        <v>410</v>
      </c>
      <c r="P22" s="1060" t="s">
        <v>1384</v>
      </c>
      <c r="Q22" s="1060"/>
      <c r="R22" s="1060"/>
      <c r="S22" s="1060"/>
      <c r="T22" s="1060"/>
      <c r="U22" s="1060"/>
      <c r="V22" s="1060"/>
      <c r="W22" s="1060"/>
      <c r="X22" s="1060"/>
      <c r="Y22" s="798"/>
    </row>
    <row r="23" spans="1:25">
      <c r="B23" s="242" t="s">
        <v>411</v>
      </c>
      <c r="C23" s="1055" t="s">
        <v>1386</v>
      </c>
      <c r="D23" s="1055"/>
      <c r="E23" s="1055"/>
      <c r="F23" s="1055"/>
      <c r="G23" s="1055"/>
      <c r="H23" s="1055"/>
      <c r="I23" s="1055"/>
      <c r="J23" s="1055"/>
      <c r="K23" s="1055"/>
      <c r="L23" s="225"/>
      <c r="M23" s="225"/>
      <c r="O23" s="803" t="s">
        <v>411</v>
      </c>
      <c r="P23" s="1055" t="s">
        <v>1385</v>
      </c>
      <c r="Q23" s="1055"/>
      <c r="R23" s="1055"/>
      <c r="S23" s="1055"/>
      <c r="T23" s="1055"/>
      <c r="U23" s="1055"/>
      <c r="V23" s="1055"/>
      <c r="W23" s="1055"/>
      <c r="X23" s="1055"/>
      <c r="Y23" s="788"/>
    </row>
    <row r="24" spans="1:25">
      <c r="B24" s="242" t="s">
        <v>411</v>
      </c>
      <c r="C24" s="1055" t="s">
        <v>1387</v>
      </c>
      <c r="D24" s="1055"/>
      <c r="E24" s="1055"/>
      <c r="F24" s="1055"/>
      <c r="G24" s="1055"/>
      <c r="H24" s="1055"/>
      <c r="I24" s="1055"/>
      <c r="J24" s="1055"/>
      <c r="K24" s="1055"/>
      <c r="O24" s="803" t="s">
        <v>411</v>
      </c>
      <c r="P24" s="1055" t="s">
        <v>1386</v>
      </c>
      <c r="Q24" s="1055"/>
      <c r="R24" s="1055"/>
      <c r="S24" s="1055"/>
      <c r="T24" s="1055"/>
      <c r="U24" s="1055"/>
      <c r="V24" s="1055"/>
      <c r="W24" s="1055"/>
      <c r="X24" s="1055"/>
      <c r="Y24" s="799"/>
    </row>
    <row r="25" spans="1:25">
      <c r="B25" s="242" t="s">
        <v>130</v>
      </c>
      <c r="C25" s="399" t="s">
        <v>1388</v>
      </c>
      <c r="D25" s="399"/>
      <c r="E25" s="399"/>
      <c r="F25" s="399"/>
      <c r="G25" s="399"/>
      <c r="H25" s="399"/>
      <c r="I25" s="399"/>
      <c r="J25" s="399"/>
      <c r="K25" s="399"/>
      <c r="N25" s="690"/>
      <c r="O25" s="801" t="s">
        <v>411</v>
      </c>
      <c r="P25" s="1055" t="s">
        <v>1387</v>
      </c>
      <c r="Q25" s="1055"/>
      <c r="R25" s="1055"/>
      <c r="S25" s="1055"/>
      <c r="T25" s="1055"/>
      <c r="U25" s="1055"/>
      <c r="V25" s="1055"/>
      <c r="W25" s="1055"/>
      <c r="X25" s="1055"/>
      <c r="Y25" s="799"/>
    </row>
    <row r="26" spans="1:25" ht="15" customHeight="1">
      <c r="N26" s="690"/>
      <c r="O26" s="680"/>
      <c r="P26" s="781"/>
      <c r="Q26" s="680"/>
      <c r="R26" s="680"/>
      <c r="S26" s="680"/>
      <c r="T26" s="680"/>
      <c r="U26" s="680"/>
      <c r="V26" s="680"/>
      <c r="W26" s="680"/>
      <c r="X26" s="680"/>
      <c r="Y26" s="680"/>
    </row>
    <row r="27" spans="1:25" ht="15" customHeight="1">
      <c r="N27" s="690"/>
      <c r="O27" s="448" t="s">
        <v>186</v>
      </c>
      <c r="P27" s="781"/>
      <c r="Q27" s="680"/>
      <c r="R27" s="680"/>
      <c r="S27" s="680"/>
      <c r="T27" s="680"/>
      <c r="U27" s="680"/>
      <c r="V27" s="680"/>
      <c r="W27" s="680"/>
      <c r="X27" s="680"/>
      <c r="Y27" s="680"/>
    </row>
    <row r="28" spans="1:25">
      <c r="N28" s="690"/>
      <c r="O28" s="686" t="s">
        <v>344</v>
      </c>
      <c r="P28" s="781"/>
      <c r="Q28" s="680"/>
      <c r="R28" s="680"/>
      <c r="S28" s="680"/>
      <c r="T28" s="680"/>
      <c r="U28" s="680"/>
      <c r="V28" s="680"/>
      <c r="W28" s="680"/>
      <c r="X28" s="800"/>
      <c r="Y28" s="799"/>
    </row>
    <row r="29" spans="1:25">
      <c r="N29" s="690"/>
      <c r="O29" s="686" t="s">
        <v>345</v>
      </c>
      <c r="P29" s="800"/>
      <c r="Q29" s="800"/>
      <c r="R29" s="800"/>
      <c r="S29" s="800"/>
      <c r="T29" s="800"/>
      <c r="U29" s="800"/>
      <c r="V29" s="800"/>
      <c r="W29" s="800"/>
      <c r="X29" s="680"/>
      <c r="Y29" s="799"/>
    </row>
    <row r="30" spans="1:25">
      <c r="N30" s="690"/>
      <c r="O30" s="686" t="s">
        <v>346</v>
      </c>
      <c r="P30" s="781"/>
      <c r="Q30" s="680"/>
      <c r="R30" s="680"/>
      <c r="S30" s="680"/>
      <c r="T30" s="680"/>
      <c r="U30" s="680"/>
      <c r="V30" s="680"/>
      <c r="W30" s="680"/>
      <c r="X30" s="680"/>
      <c r="Y30" s="799"/>
    </row>
    <row r="31" spans="1:25">
      <c r="N31" s="690"/>
      <c r="O31" s="680"/>
      <c r="P31" s="680"/>
      <c r="Q31" s="680"/>
      <c r="R31" s="680"/>
      <c r="S31" s="680"/>
      <c r="T31" s="680"/>
      <c r="U31" s="680"/>
      <c r="V31" s="680"/>
      <c r="W31" s="680"/>
      <c r="X31" s="680"/>
      <c r="Y31" s="530"/>
    </row>
    <row r="32" spans="1:25">
      <c r="N32" s="690"/>
      <c r="O32" s="497" t="s">
        <v>535</v>
      </c>
      <c r="P32" s="680"/>
      <c r="Q32" s="680"/>
      <c r="R32" s="680"/>
      <c r="S32" s="680"/>
      <c r="T32" s="680"/>
      <c r="U32" s="680"/>
      <c r="V32" s="680"/>
      <c r="W32" s="680"/>
      <c r="X32" s="680"/>
      <c r="Y32" s="530"/>
    </row>
    <row r="33" spans="14:25">
      <c r="N33" s="690"/>
      <c r="O33" s="841" t="s">
        <v>1389</v>
      </c>
      <c r="P33" s="680"/>
      <c r="Q33" s="680"/>
      <c r="R33" s="680"/>
      <c r="S33" s="680"/>
      <c r="T33" s="680"/>
      <c r="U33" s="680"/>
      <c r="V33" s="680"/>
      <c r="W33" s="680"/>
      <c r="X33" s="680"/>
      <c r="Y33" s="530"/>
    </row>
    <row r="34" spans="14:25">
      <c r="N34" s="690"/>
      <c r="O34" s="399" t="s">
        <v>1388</v>
      </c>
      <c r="P34" s="781"/>
      <c r="Q34" s="680"/>
      <c r="R34" s="680"/>
      <c r="S34" s="680"/>
      <c r="T34" s="680"/>
      <c r="U34" s="680"/>
      <c r="V34" s="680"/>
      <c r="W34" s="680"/>
      <c r="X34" s="680"/>
      <c r="Y34" s="680"/>
    </row>
    <row r="35" spans="14:25">
      <c r="P35" s="781"/>
      <c r="Q35" s="680"/>
      <c r="R35" s="680"/>
      <c r="S35" s="680"/>
      <c r="T35" s="680"/>
      <c r="U35" s="680"/>
      <c r="V35" s="680"/>
      <c r="W35" s="680"/>
      <c r="X35" s="680"/>
      <c r="Y35" s="680"/>
    </row>
    <row r="36" spans="14:25">
      <c r="P36" s="781"/>
      <c r="Q36" s="680"/>
      <c r="R36" s="680"/>
      <c r="S36" s="680"/>
      <c r="T36" s="680"/>
      <c r="U36" s="680"/>
      <c r="V36" s="680"/>
      <c r="W36" s="680"/>
      <c r="X36" s="680"/>
      <c r="Y36" s="680"/>
    </row>
    <row r="37" spans="14:25">
      <c r="P37" s="781"/>
      <c r="Q37" s="680"/>
      <c r="R37" s="680"/>
      <c r="S37" s="680"/>
      <c r="T37" s="680"/>
      <c r="U37" s="680"/>
      <c r="V37" s="680"/>
      <c r="W37" s="680"/>
      <c r="X37" s="680"/>
      <c r="Y37" s="680"/>
    </row>
    <row r="38" spans="14:25">
      <c r="P38" s="781"/>
      <c r="Q38" s="680"/>
      <c r="R38" s="680"/>
      <c r="S38" s="680"/>
      <c r="T38" s="680"/>
      <c r="U38" s="680"/>
      <c r="V38" s="680"/>
      <c r="W38" s="680"/>
      <c r="X38" s="680"/>
      <c r="Y38" s="680"/>
    </row>
    <row r="39" spans="14:25">
      <c r="P39" s="781"/>
      <c r="Q39" s="680"/>
      <c r="R39" s="680"/>
      <c r="S39" s="680"/>
      <c r="T39" s="680"/>
      <c r="U39" s="680"/>
      <c r="V39" s="680"/>
      <c r="W39" s="680"/>
      <c r="X39" s="680"/>
      <c r="Y39" s="680"/>
    </row>
    <row r="40" spans="14:25">
      <c r="P40" s="781"/>
      <c r="Q40" s="680"/>
      <c r="R40" s="680"/>
      <c r="S40" s="680"/>
      <c r="T40" s="680"/>
      <c r="U40" s="680"/>
      <c r="V40" s="680"/>
      <c r="W40" s="680"/>
      <c r="X40" s="680"/>
      <c r="Y40" s="680"/>
    </row>
    <row r="41" spans="14:25">
      <c r="P41" s="683"/>
      <c r="Q41" s="683"/>
      <c r="R41" s="683"/>
      <c r="S41" s="683"/>
      <c r="T41" s="683"/>
      <c r="U41" s="683"/>
      <c r="V41" s="683"/>
      <c r="W41" s="683"/>
      <c r="X41" s="683"/>
      <c r="Y41" s="680"/>
    </row>
    <row r="42" spans="14:25">
      <c r="P42" s="399"/>
      <c r="Q42" s="399"/>
      <c r="R42" s="399"/>
      <c r="S42" s="399"/>
      <c r="T42" s="399"/>
      <c r="U42" s="399"/>
      <c r="V42" s="399"/>
      <c r="W42" s="399"/>
      <c r="X42" s="399"/>
      <c r="Y42" s="680"/>
    </row>
    <row r="43" spans="14:25">
      <c r="P43" s="399"/>
      <c r="Q43" s="399"/>
      <c r="R43" s="399"/>
      <c r="S43" s="399"/>
      <c r="T43" s="399"/>
      <c r="U43" s="399"/>
      <c r="V43" s="399"/>
      <c r="W43" s="399"/>
      <c r="X43" s="399"/>
      <c r="Y43" s="680"/>
    </row>
    <row r="44" spans="14:25">
      <c r="P44" s="782"/>
      <c r="Q44" s="666"/>
      <c r="R44" s="666"/>
      <c r="S44" s="666"/>
      <c r="T44" s="666"/>
      <c r="U44" s="666"/>
      <c r="V44" s="666"/>
      <c r="W44" s="666"/>
      <c r="Y44" s="680"/>
    </row>
    <row r="45" spans="14:25">
      <c r="Y45" s="680"/>
    </row>
    <row r="46" spans="14:25">
      <c r="Y46" s="680"/>
    </row>
    <row r="47" spans="14:25">
      <c r="Y47" s="680"/>
    </row>
    <row r="48" spans="14:25">
      <c r="Y48" s="680"/>
    </row>
    <row r="49" spans="25:25">
      <c r="Y49" s="680"/>
    </row>
    <row r="50" spans="25:25">
      <c r="Y50" s="680"/>
    </row>
    <row r="51" spans="25:25">
      <c r="Y51" s="680"/>
    </row>
    <row r="52" spans="25:25">
      <c r="Y52" s="680"/>
    </row>
    <row r="53" spans="25:25">
      <c r="Y53" s="680"/>
    </row>
  </sheetData>
  <mergeCells count="24">
    <mergeCell ref="C10:K10"/>
    <mergeCell ref="C11:K11"/>
    <mergeCell ref="C12:K12"/>
    <mergeCell ref="C13:K13"/>
    <mergeCell ref="C14:K14"/>
    <mergeCell ref="C15:K15"/>
    <mergeCell ref="C16:K16"/>
    <mergeCell ref="C24:K24"/>
    <mergeCell ref="C20:K20"/>
    <mergeCell ref="C21:K21"/>
    <mergeCell ref="C22:K22"/>
    <mergeCell ref="C23:K23"/>
    <mergeCell ref="P24:X24"/>
    <mergeCell ref="P25:X25"/>
    <mergeCell ref="O9:V9"/>
    <mergeCell ref="P13:X13"/>
    <mergeCell ref="P14:X14"/>
    <mergeCell ref="P15:X15"/>
    <mergeCell ref="P16:X16"/>
    <mergeCell ref="P17:X17"/>
    <mergeCell ref="P18:X18"/>
    <mergeCell ref="P21:X21"/>
    <mergeCell ref="P22:X22"/>
    <mergeCell ref="P23:X23"/>
  </mergeCells>
  <dataValidations count="2">
    <dataValidation type="list" allowBlank="1" showInputMessage="1" showErrorMessage="1" sqref="M10 M19" xr:uid="{00000000-0002-0000-1800-000000000000}">
      <formula1>choix</formula1>
    </dataValidation>
    <dataValidation type="list" allowBlank="1" showInputMessage="1" showErrorMessage="1" sqref="B11:B16 B20:B24 O13:O18 O21:O25" xr:uid="{00000000-0002-0000-1800-000001000000}">
      <formula1>Choix_capacité</formula1>
    </dataValidation>
  </dataValidations>
  <pageMargins left="0.7" right="0.7" top="0.75" bottom="0.75" header="0.3" footer="0.3"/>
  <pageSetup paperSize="9" scale="28" orientation="portrait" verticalDpi="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6">
    <tabColor theme="4"/>
    <pageSetUpPr fitToPage="1"/>
  </sheetPr>
  <dimension ref="A1:AE80"/>
  <sheetViews>
    <sheetView topLeftCell="E40" zoomScale="80" zoomScaleNormal="80" workbookViewId="0">
      <selection activeCell="R2" sqref="R2:AE80"/>
    </sheetView>
  </sheetViews>
  <sheetFormatPr baseColWidth="10" defaultRowHeight="15"/>
  <cols>
    <col min="2" max="2" width="13.6640625" customWidth="1"/>
    <col min="3" max="3" width="17.6640625" customWidth="1"/>
    <col min="14" max="14" width="3.1640625" customWidth="1"/>
    <col min="15" max="16" width="13.5" bestFit="1" customWidth="1"/>
    <col min="19" max="19" width="16.5" customWidth="1"/>
    <col min="23" max="23" width="15.1640625" customWidth="1"/>
    <col min="31" max="31" width="6.33203125" customWidth="1"/>
  </cols>
  <sheetData>
    <row r="1" spans="1:31" ht="16" thickBot="1"/>
    <row r="2" spans="1:31" ht="19">
      <c r="R2" s="272" t="s">
        <v>112</v>
      </c>
      <c r="S2" s="228" t="s">
        <v>126</v>
      </c>
      <c r="T2" s="229" t="s">
        <v>44</v>
      </c>
      <c r="U2" s="671" t="s">
        <v>43</v>
      </c>
      <c r="V2" s="983"/>
    </row>
    <row r="3" spans="1:31" ht="16" thickBot="1">
      <c r="R3" s="983"/>
      <c r="S3" s="230" t="s">
        <v>55</v>
      </c>
      <c r="T3" s="231">
        <v>3</v>
      </c>
      <c r="U3" s="983"/>
      <c r="V3" s="983"/>
    </row>
    <row r="4" spans="1:31" ht="20" thickBot="1">
      <c r="B4" s="272" t="s">
        <v>112</v>
      </c>
      <c r="C4" s="228" t="s">
        <v>126</v>
      </c>
      <c r="D4" s="229" t="s">
        <v>44</v>
      </c>
      <c r="E4" s="227" t="s">
        <v>43</v>
      </c>
      <c r="G4" s="242"/>
      <c r="R4" s="983"/>
      <c r="S4" s="232" t="s">
        <v>62</v>
      </c>
      <c r="T4" s="986">
        <v>50</v>
      </c>
      <c r="U4" s="983"/>
      <c r="V4" s="983"/>
    </row>
    <row r="5" spans="1:31">
      <c r="C5" s="230" t="s">
        <v>55</v>
      </c>
      <c r="D5" s="231">
        <v>3</v>
      </c>
    </row>
    <row r="6" spans="1:31" ht="17" thickBot="1">
      <c r="C6" s="232" t="s">
        <v>62</v>
      </c>
      <c r="D6" s="261">
        <v>50</v>
      </c>
      <c r="R6" s="1041" t="s">
        <v>567</v>
      </c>
      <c r="S6" s="1042"/>
      <c r="T6" s="1042"/>
      <c r="U6" s="1042"/>
      <c r="V6" s="1042"/>
      <c r="W6" s="1042"/>
      <c r="X6" s="1042"/>
      <c r="Y6" s="1042"/>
      <c r="Z6" s="467"/>
      <c r="AA6" s="467"/>
      <c r="AB6" s="467"/>
      <c r="AC6" s="467"/>
      <c r="AD6" s="467"/>
      <c r="AE6" s="467"/>
    </row>
    <row r="7" spans="1:31" ht="16" thickBot="1">
      <c r="Q7" s="292"/>
      <c r="R7" s="481"/>
      <c r="S7" s="469"/>
      <c r="T7" s="469"/>
      <c r="U7" s="467"/>
      <c r="V7" s="467"/>
      <c r="W7" s="467"/>
      <c r="X7" s="467"/>
      <c r="Y7" s="467"/>
      <c r="Z7" s="467"/>
      <c r="AA7" s="467"/>
      <c r="AB7" s="467"/>
      <c r="AC7" s="467"/>
      <c r="AD7" s="467"/>
      <c r="AE7" s="467"/>
    </row>
    <row r="8" spans="1:31" ht="49" thickBot="1">
      <c r="O8" s="320" t="s">
        <v>125</v>
      </c>
      <c r="P8" s="320" t="s">
        <v>408</v>
      </c>
      <c r="Q8" s="292"/>
      <c r="R8" s="498" t="s">
        <v>529</v>
      </c>
      <c r="S8" s="469"/>
      <c r="T8" s="469"/>
      <c r="U8" s="467"/>
      <c r="V8" s="467"/>
      <c r="W8" s="467"/>
      <c r="X8" s="467"/>
      <c r="Y8" s="467"/>
      <c r="Z8" s="467"/>
      <c r="AA8" s="467"/>
      <c r="AB8" s="467"/>
      <c r="AC8" s="467"/>
      <c r="AD8" s="467"/>
      <c r="AE8" s="467"/>
    </row>
    <row r="9" spans="1:31" ht="16.5" customHeight="1" thickBot="1">
      <c r="Q9" s="292"/>
      <c r="R9" s="1077" t="s">
        <v>477</v>
      </c>
      <c r="S9" s="1077"/>
      <c r="T9" s="1077"/>
      <c r="U9" s="1077"/>
      <c r="V9" s="1077"/>
      <c r="W9" s="1077"/>
      <c r="X9" s="1077"/>
      <c r="Y9" s="1077"/>
      <c r="Z9" s="1077"/>
      <c r="AA9" s="1077"/>
      <c r="AB9" s="1077"/>
      <c r="AC9" s="467"/>
      <c r="AD9" s="467"/>
      <c r="AE9" s="467"/>
    </row>
    <row r="10" spans="1:31" ht="17" thickBot="1">
      <c r="A10" s="493" t="s">
        <v>127</v>
      </c>
      <c r="B10" s="472"/>
      <c r="C10" s="1038" t="s">
        <v>477</v>
      </c>
      <c r="D10" s="1039"/>
      <c r="E10" s="1039"/>
      <c r="F10" s="1039"/>
      <c r="G10" s="1039"/>
      <c r="H10" s="1039"/>
      <c r="I10" s="1039"/>
      <c r="J10" s="1039"/>
      <c r="K10" s="1039"/>
      <c r="L10" s="1039"/>
      <c r="M10" s="1039"/>
      <c r="N10" s="1040"/>
      <c r="O10" s="478">
        <v>2</v>
      </c>
      <c r="P10" s="492" t="s">
        <v>407</v>
      </c>
      <c r="Q10" s="292"/>
      <c r="R10" s="503"/>
      <c r="S10" s="471" t="s">
        <v>410</v>
      </c>
      <c r="T10" s="1043" t="s">
        <v>957</v>
      </c>
      <c r="U10" s="1043"/>
      <c r="V10" s="1043"/>
      <c r="W10" s="1043"/>
      <c r="X10" s="1043"/>
      <c r="Y10" s="1043"/>
      <c r="Z10" s="1043"/>
      <c r="AA10" s="1043"/>
      <c r="AB10" s="1043"/>
      <c r="AC10" s="1043"/>
      <c r="AD10" s="1043"/>
      <c r="AE10" s="1043"/>
    </row>
    <row r="11" spans="1:31">
      <c r="A11" s="467"/>
      <c r="B11" s="471" t="s">
        <v>410</v>
      </c>
      <c r="C11" s="1069" t="s">
        <v>957</v>
      </c>
      <c r="D11" s="1069"/>
      <c r="E11" s="1069"/>
      <c r="F11" s="1069"/>
      <c r="G11" s="1069"/>
      <c r="H11" s="1069"/>
      <c r="I11" s="1069"/>
      <c r="J11" s="1069"/>
      <c r="K11" s="1069"/>
      <c r="L11" s="1069"/>
      <c r="M11" s="1069"/>
      <c r="N11" s="1069"/>
      <c r="O11" s="470"/>
      <c r="P11" s="467"/>
      <c r="Q11" s="292"/>
      <c r="R11" s="481"/>
      <c r="S11" s="471" t="s">
        <v>410</v>
      </c>
      <c r="T11" s="1043" t="s">
        <v>993</v>
      </c>
      <c r="U11" s="1043"/>
      <c r="V11" s="1043"/>
      <c r="W11" s="1043"/>
      <c r="X11" s="1043"/>
      <c r="Y11" s="1043"/>
      <c r="Z11" s="1043"/>
      <c r="AA11" s="1043"/>
      <c r="AB11" s="1043"/>
      <c r="AC11" s="1043"/>
      <c r="AD11" s="1043"/>
      <c r="AE11" s="1043"/>
    </row>
    <row r="12" spans="1:31">
      <c r="A12" s="467"/>
      <c r="B12" s="471" t="s">
        <v>410</v>
      </c>
      <c r="C12" s="1069" t="s">
        <v>958</v>
      </c>
      <c r="D12" s="1069"/>
      <c r="E12" s="1069"/>
      <c r="F12" s="1069"/>
      <c r="G12" s="1069"/>
      <c r="H12" s="1069"/>
      <c r="I12" s="1069"/>
      <c r="J12" s="1069"/>
      <c r="K12" s="1069"/>
      <c r="L12" s="1069"/>
      <c r="M12" s="1069"/>
      <c r="N12" s="1069"/>
      <c r="O12" s="470"/>
      <c r="P12" s="467"/>
      <c r="Q12" s="292"/>
      <c r="R12" s="481"/>
      <c r="S12" s="471" t="s">
        <v>410</v>
      </c>
      <c r="T12" s="1043" t="s">
        <v>959</v>
      </c>
      <c r="U12" s="1043"/>
      <c r="V12" s="1043"/>
      <c r="W12" s="1043"/>
      <c r="X12" s="1043"/>
      <c r="Y12" s="1043"/>
      <c r="Z12" s="1043"/>
      <c r="AA12" s="1043"/>
      <c r="AB12" s="1043"/>
      <c r="AC12" s="1043"/>
      <c r="AD12" s="1043"/>
      <c r="AE12" s="1043"/>
    </row>
    <row r="13" spans="1:31">
      <c r="A13" s="467"/>
      <c r="B13" s="471" t="s">
        <v>410</v>
      </c>
      <c r="C13" s="1069" t="s">
        <v>959</v>
      </c>
      <c r="D13" s="1069"/>
      <c r="E13" s="1069"/>
      <c r="F13" s="1069"/>
      <c r="G13" s="1069"/>
      <c r="H13" s="1069"/>
      <c r="I13" s="1069"/>
      <c r="J13" s="1069"/>
      <c r="K13" s="1069"/>
      <c r="L13" s="1069"/>
      <c r="M13" s="1069"/>
      <c r="N13" s="1069"/>
      <c r="O13" s="470"/>
      <c r="P13" s="467"/>
      <c r="Q13" s="292"/>
      <c r="R13" s="481"/>
      <c r="S13" s="471" t="s">
        <v>411</v>
      </c>
      <c r="T13" s="481" t="s">
        <v>960</v>
      </c>
      <c r="U13" s="481"/>
      <c r="V13" s="481"/>
      <c r="W13" s="481"/>
      <c r="X13" s="481"/>
      <c r="Y13" s="481"/>
      <c r="Z13" s="481"/>
      <c r="AA13" s="481"/>
      <c r="AB13" s="481"/>
      <c r="AC13" s="481"/>
      <c r="AD13" s="481"/>
      <c r="AE13" s="481"/>
    </row>
    <row r="14" spans="1:31">
      <c r="A14" s="467"/>
      <c r="B14" s="471" t="s">
        <v>411</v>
      </c>
      <c r="C14" s="481" t="s">
        <v>960</v>
      </c>
      <c r="D14" s="481"/>
      <c r="E14" s="481"/>
      <c r="F14" s="481"/>
      <c r="G14" s="481"/>
      <c r="H14" s="481"/>
      <c r="I14" s="481"/>
      <c r="J14" s="481"/>
      <c r="K14" s="481"/>
      <c r="L14" s="481"/>
      <c r="M14" s="481"/>
      <c r="N14" s="481"/>
      <c r="O14" s="470"/>
      <c r="P14" s="467"/>
      <c r="Q14" s="292"/>
      <c r="R14" s="481"/>
      <c r="S14" s="471" t="s">
        <v>411</v>
      </c>
      <c r="T14" s="1043" t="s">
        <v>961</v>
      </c>
      <c r="U14" s="1043"/>
      <c r="V14" s="1043"/>
      <c r="W14" s="1043"/>
      <c r="X14" s="1043"/>
      <c r="Y14" s="1043"/>
      <c r="Z14" s="1043"/>
      <c r="AA14" s="1043"/>
      <c r="AB14" s="1043"/>
      <c r="AC14" s="1043"/>
      <c r="AD14" s="1043"/>
      <c r="AE14" s="1043"/>
    </row>
    <row r="15" spans="1:31">
      <c r="A15" s="467"/>
      <c r="B15" s="471" t="s">
        <v>411</v>
      </c>
      <c r="C15" s="1043" t="s">
        <v>961</v>
      </c>
      <c r="D15" s="1043"/>
      <c r="E15" s="1043"/>
      <c r="F15" s="1043"/>
      <c r="G15" s="1043"/>
      <c r="H15" s="1043"/>
      <c r="I15" s="1043"/>
      <c r="J15" s="1043"/>
      <c r="K15" s="1043"/>
      <c r="L15" s="1043"/>
      <c r="M15" s="1043"/>
      <c r="N15" s="1043"/>
      <c r="O15" s="470"/>
      <c r="P15" s="467"/>
      <c r="Q15" s="292"/>
      <c r="R15" s="491" t="s">
        <v>124</v>
      </c>
      <c r="S15" s="491"/>
      <c r="T15" s="491"/>
      <c r="U15" s="491"/>
      <c r="V15" s="491"/>
      <c r="W15" s="491"/>
      <c r="X15" s="491"/>
      <c r="Y15" s="491"/>
      <c r="Z15" s="491"/>
      <c r="AA15" s="491"/>
      <c r="AB15" s="491"/>
      <c r="AC15" s="491"/>
      <c r="AD15" s="481"/>
      <c r="AE15" s="481"/>
    </row>
    <row r="16" spans="1:31">
      <c r="A16" s="467"/>
      <c r="B16" s="471" t="s">
        <v>130</v>
      </c>
      <c r="C16" s="1085" t="s">
        <v>962</v>
      </c>
      <c r="D16" s="1085"/>
      <c r="E16" s="1085"/>
      <c r="F16" s="1085"/>
      <c r="G16" s="1085"/>
      <c r="H16" s="1085"/>
      <c r="I16" s="1085"/>
      <c r="J16" s="1085"/>
      <c r="K16" s="1085"/>
      <c r="L16" s="1085"/>
      <c r="M16" s="1085"/>
      <c r="N16" s="1085"/>
      <c r="O16" s="470"/>
      <c r="P16" s="467"/>
      <c r="Q16" s="292"/>
      <c r="R16" s="481"/>
      <c r="S16" s="471" t="s">
        <v>410</v>
      </c>
      <c r="T16" s="494" t="s">
        <v>963</v>
      </c>
      <c r="U16" s="494"/>
      <c r="V16" s="494"/>
      <c r="W16" s="494"/>
      <c r="X16" s="494"/>
      <c r="Y16" s="494"/>
      <c r="Z16" s="494"/>
      <c r="AA16" s="494"/>
      <c r="AB16" s="494"/>
      <c r="AC16" s="494"/>
      <c r="AD16" s="494"/>
      <c r="AE16" s="494"/>
    </row>
    <row r="17" spans="1:31" ht="16" thickBot="1">
      <c r="A17" s="467"/>
      <c r="B17" s="479"/>
      <c r="C17" s="467"/>
      <c r="D17" s="467"/>
      <c r="E17" s="467"/>
      <c r="F17" s="467"/>
      <c r="G17" s="467"/>
      <c r="H17" s="467"/>
      <c r="I17" s="467"/>
      <c r="J17" s="467"/>
      <c r="K17" s="467"/>
      <c r="L17" s="467"/>
      <c r="M17" s="467"/>
      <c r="N17" s="467"/>
      <c r="O17" s="470"/>
      <c r="P17" s="467"/>
      <c r="Q17" s="292"/>
      <c r="R17" s="481"/>
      <c r="S17" s="471" t="s">
        <v>410</v>
      </c>
      <c r="T17" s="494" t="s">
        <v>964</v>
      </c>
      <c r="U17" s="494"/>
      <c r="V17" s="494"/>
      <c r="W17" s="494"/>
      <c r="X17" s="494"/>
      <c r="Y17" s="494"/>
      <c r="Z17" s="494"/>
      <c r="AA17" s="494"/>
      <c r="AB17" s="494"/>
      <c r="AC17" s="494"/>
      <c r="AD17" s="494"/>
      <c r="AE17" s="494"/>
    </row>
    <row r="18" spans="1:31" ht="17" thickBot="1">
      <c r="A18" s="493" t="s">
        <v>128</v>
      </c>
      <c r="B18" s="472"/>
      <c r="C18" s="1038" t="s">
        <v>124</v>
      </c>
      <c r="D18" s="1039"/>
      <c r="E18" s="1039"/>
      <c r="F18" s="1039"/>
      <c r="G18" s="1039"/>
      <c r="H18" s="1039"/>
      <c r="I18" s="1039"/>
      <c r="J18" s="1039"/>
      <c r="K18" s="1039"/>
      <c r="L18" s="1039"/>
      <c r="M18" s="1039"/>
      <c r="N18" s="1040"/>
      <c r="O18" s="478">
        <v>3</v>
      </c>
      <c r="P18" s="492" t="s">
        <v>407</v>
      </c>
      <c r="Q18" s="292"/>
      <c r="R18" s="401"/>
      <c r="S18" s="471" t="s">
        <v>410</v>
      </c>
      <c r="T18" s="494" t="s">
        <v>965</v>
      </c>
      <c r="U18" s="494"/>
      <c r="V18" s="494"/>
      <c r="W18" s="494"/>
      <c r="X18" s="494"/>
      <c r="Y18" s="494"/>
      <c r="Z18" s="494"/>
      <c r="AA18" s="494"/>
      <c r="AB18" s="494"/>
      <c r="AC18" s="494"/>
      <c r="AD18" s="494"/>
      <c r="AE18" s="494"/>
    </row>
    <row r="19" spans="1:31" ht="16">
      <c r="A19" s="467"/>
      <c r="B19" s="471" t="s">
        <v>410</v>
      </c>
      <c r="C19" s="1069" t="s">
        <v>963</v>
      </c>
      <c r="D19" s="1069"/>
      <c r="E19" s="1069"/>
      <c r="F19" s="1069"/>
      <c r="G19" s="1069"/>
      <c r="H19" s="1069"/>
      <c r="I19" s="1069"/>
      <c r="J19" s="1069"/>
      <c r="K19" s="1069"/>
      <c r="L19" s="1069"/>
      <c r="M19" s="1069"/>
      <c r="N19" s="1069"/>
      <c r="O19" s="470"/>
      <c r="P19" s="467"/>
      <c r="Q19" s="292"/>
      <c r="R19" s="503"/>
      <c r="S19" s="471" t="s">
        <v>411</v>
      </c>
      <c r="T19" s="494" t="s">
        <v>966</v>
      </c>
      <c r="U19" s="494"/>
      <c r="V19" s="494"/>
      <c r="W19" s="494"/>
      <c r="X19" s="494"/>
      <c r="Y19" s="494"/>
      <c r="Z19" s="494"/>
      <c r="AA19" s="494"/>
      <c r="AB19" s="494"/>
      <c r="AC19" s="494"/>
      <c r="AD19" s="494"/>
      <c r="AE19" s="494"/>
    </row>
    <row r="20" spans="1:31">
      <c r="A20" s="467"/>
      <c r="B20" s="471" t="s">
        <v>410</v>
      </c>
      <c r="C20" s="1069" t="s">
        <v>964</v>
      </c>
      <c r="D20" s="1069"/>
      <c r="E20" s="1069"/>
      <c r="F20" s="1069"/>
      <c r="G20" s="1069"/>
      <c r="H20" s="1069"/>
      <c r="I20" s="1069"/>
      <c r="J20" s="1069"/>
      <c r="K20" s="1069"/>
      <c r="L20" s="1069"/>
      <c r="M20" s="1069"/>
      <c r="N20" s="1069"/>
      <c r="O20" s="470"/>
      <c r="P20" s="467"/>
      <c r="Q20" s="292"/>
      <c r="R20" s="481"/>
      <c r="S20" s="471" t="s">
        <v>411</v>
      </c>
      <c r="T20" s="494" t="s">
        <v>967</v>
      </c>
      <c r="U20" s="494"/>
      <c r="V20" s="494"/>
      <c r="W20" s="494"/>
      <c r="X20" s="494"/>
      <c r="Y20" s="494"/>
      <c r="Z20" s="494"/>
      <c r="AA20" s="494"/>
      <c r="AB20" s="494"/>
      <c r="AC20" s="494"/>
      <c r="AD20" s="494"/>
      <c r="AE20" s="494"/>
    </row>
    <row r="21" spans="1:31">
      <c r="A21" s="467"/>
      <c r="B21" s="471" t="s">
        <v>410</v>
      </c>
      <c r="C21" s="1069" t="s">
        <v>965</v>
      </c>
      <c r="D21" s="1069"/>
      <c r="E21" s="1069"/>
      <c r="F21" s="1069"/>
      <c r="G21" s="1069"/>
      <c r="H21" s="1069"/>
      <c r="I21" s="1069"/>
      <c r="J21" s="1069"/>
      <c r="K21" s="1069"/>
      <c r="L21" s="1069"/>
      <c r="M21" s="1069"/>
      <c r="N21" s="1069"/>
      <c r="O21" s="470"/>
      <c r="P21" s="467"/>
      <c r="Q21" s="292"/>
      <c r="R21" s="491" t="s">
        <v>478</v>
      </c>
      <c r="S21" s="527"/>
      <c r="T21" s="434"/>
      <c r="U21" s="434"/>
      <c r="V21" s="434"/>
      <c r="W21" s="494"/>
      <c r="X21" s="494"/>
      <c r="Y21" s="494"/>
      <c r="Z21" s="494"/>
      <c r="AA21" s="494"/>
      <c r="AB21" s="494"/>
      <c r="AC21" s="494"/>
      <c r="AD21" s="494"/>
      <c r="AE21" s="494"/>
    </row>
    <row r="22" spans="1:31" ht="16">
      <c r="A22" s="467"/>
      <c r="B22" s="471" t="s">
        <v>411</v>
      </c>
      <c r="C22" s="1043" t="s">
        <v>966</v>
      </c>
      <c r="D22" s="1043"/>
      <c r="E22" s="1043"/>
      <c r="F22" s="1043"/>
      <c r="G22" s="1043"/>
      <c r="H22" s="1043"/>
      <c r="I22" s="1043"/>
      <c r="J22" s="1043"/>
      <c r="K22" s="1043"/>
      <c r="L22" s="1043"/>
      <c r="M22" s="1043"/>
      <c r="N22" s="1043"/>
      <c r="O22" s="470"/>
      <c r="P22" s="467"/>
      <c r="Q22" s="292"/>
      <c r="R22" s="503" t="s">
        <v>488</v>
      </c>
      <c r="S22" s="481"/>
      <c r="T22" s="500" t="s">
        <v>969</v>
      </c>
      <c r="U22" s="500"/>
      <c r="V22" s="500"/>
      <c r="W22" s="467"/>
      <c r="X22" s="467"/>
      <c r="Y22" s="467"/>
      <c r="Z22" s="467"/>
      <c r="AA22" s="467"/>
      <c r="AB22" s="467"/>
      <c r="AC22" s="467"/>
      <c r="AD22" s="467"/>
      <c r="AE22" s="467"/>
    </row>
    <row r="23" spans="1:31">
      <c r="A23" s="467"/>
      <c r="B23" s="471" t="s">
        <v>411</v>
      </c>
      <c r="C23" s="1043" t="s">
        <v>967</v>
      </c>
      <c r="D23" s="1043"/>
      <c r="E23" s="1043"/>
      <c r="F23" s="1043"/>
      <c r="G23" s="1043"/>
      <c r="H23" s="1043"/>
      <c r="I23" s="1043"/>
      <c r="J23" s="1043"/>
      <c r="K23" s="1043"/>
      <c r="L23" s="1043"/>
      <c r="M23" s="1043"/>
      <c r="N23" s="1043"/>
      <c r="O23" s="470"/>
      <c r="P23" s="467"/>
      <c r="Q23" s="292"/>
      <c r="R23" s="481"/>
      <c r="S23" s="471" t="s">
        <v>410</v>
      </c>
      <c r="T23" s="494" t="s">
        <v>970</v>
      </c>
      <c r="U23" s="494"/>
      <c r="V23" s="494"/>
      <c r="W23" s="481"/>
      <c r="X23" s="481"/>
      <c r="Y23" s="481"/>
      <c r="Z23" s="481"/>
      <c r="AA23" s="481"/>
      <c r="AB23" s="481"/>
      <c r="AC23" s="481"/>
      <c r="AD23" s="481"/>
      <c r="AE23" s="481"/>
    </row>
    <row r="24" spans="1:31" ht="15.75" customHeight="1">
      <c r="A24" s="467"/>
      <c r="B24" s="471" t="s">
        <v>130</v>
      </c>
      <c r="C24" s="1085" t="s">
        <v>968</v>
      </c>
      <c r="D24" s="1085"/>
      <c r="E24" s="1085"/>
      <c r="F24" s="1085"/>
      <c r="G24" s="1085"/>
      <c r="H24" s="1085"/>
      <c r="I24" s="1085"/>
      <c r="J24" s="1085"/>
      <c r="K24" s="1085"/>
      <c r="L24" s="1085"/>
      <c r="M24" s="1085"/>
      <c r="N24" s="1085"/>
      <c r="O24" s="470"/>
      <c r="P24" s="467"/>
      <c r="Q24" s="292"/>
      <c r="R24" s="481"/>
      <c r="S24" s="471" t="s">
        <v>410</v>
      </c>
      <c r="T24" s="494" t="s">
        <v>971</v>
      </c>
      <c r="U24" s="494"/>
      <c r="V24" s="494"/>
      <c r="W24" s="500"/>
      <c r="X24" s="500"/>
      <c r="Y24" s="500"/>
      <c r="Z24" s="500"/>
      <c r="AA24" s="500"/>
      <c r="AB24" s="500"/>
      <c r="AC24" s="500"/>
      <c r="AD24" s="500"/>
      <c r="AE24" s="500"/>
    </row>
    <row r="25" spans="1:31" ht="15.75" customHeight="1" thickBot="1">
      <c r="A25" s="467"/>
      <c r="B25" s="467"/>
      <c r="C25" s="467"/>
      <c r="D25" s="467"/>
      <c r="E25" s="467"/>
      <c r="F25" s="467"/>
      <c r="G25" s="467"/>
      <c r="H25" s="467"/>
      <c r="I25" s="467"/>
      <c r="J25" s="467"/>
      <c r="K25" s="467"/>
      <c r="L25" s="467"/>
      <c r="M25" s="467"/>
      <c r="N25" s="467"/>
      <c r="O25" s="470"/>
      <c r="P25" s="467"/>
      <c r="Q25" s="292"/>
      <c r="R25" s="481"/>
      <c r="S25" s="471" t="s">
        <v>410</v>
      </c>
      <c r="T25" s="494" t="s">
        <v>972</v>
      </c>
      <c r="U25" s="494"/>
      <c r="V25" s="494"/>
      <c r="W25" s="494"/>
      <c r="X25" s="494"/>
      <c r="Y25" s="494"/>
      <c r="Z25" s="494"/>
      <c r="AA25" s="494"/>
      <c r="AB25" s="494"/>
      <c r="AC25" s="494"/>
      <c r="AD25" s="494"/>
      <c r="AE25" s="494"/>
    </row>
    <row r="26" spans="1:31" ht="15" customHeight="1" thickBot="1">
      <c r="A26" s="493" t="s">
        <v>129</v>
      </c>
      <c r="B26" s="278"/>
      <c r="C26" s="473" t="s">
        <v>478</v>
      </c>
      <c r="D26" s="474"/>
      <c r="E26" s="474"/>
      <c r="F26" s="474"/>
      <c r="G26" s="474"/>
      <c r="H26" s="474"/>
      <c r="I26" s="474"/>
      <c r="J26" s="474"/>
      <c r="K26" s="474"/>
      <c r="L26" s="474"/>
      <c r="M26" s="474"/>
      <c r="N26" s="475"/>
      <c r="O26" s="279">
        <v>3</v>
      </c>
      <c r="P26" s="492" t="s">
        <v>407</v>
      </c>
      <c r="Q26" s="292"/>
      <c r="R26" s="481"/>
      <c r="S26" s="471" t="s">
        <v>411</v>
      </c>
      <c r="T26" s="494" t="s">
        <v>973</v>
      </c>
      <c r="U26" s="494"/>
      <c r="V26" s="494"/>
      <c r="W26" s="494"/>
      <c r="X26" s="494"/>
      <c r="Y26" s="494"/>
      <c r="Z26" s="494"/>
      <c r="AA26" s="494"/>
      <c r="AB26" s="494"/>
      <c r="AC26" s="494"/>
      <c r="AD26" s="494"/>
      <c r="AE26" s="494"/>
    </row>
    <row r="27" spans="1:31" ht="15" customHeight="1">
      <c r="A27" s="503" t="s">
        <v>488</v>
      </c>
      <c r="B27" s="481"/>
      <c r="C27" s="500" t="s">
        <v>969</v>
      </c>
      <c r="D27" s="500"/>
      <c r="E27" s="500"/>
      <c r="F27" s="500"/>
      <c r="G27" s="500"/>
      <c r="H27" s="500"/>
      <c r="I27" s="500"/>
      <c r="J27" s="500"/>
      <c r="K27" s="500"/>
      <c r="L27" s="500"/>
      <c r="M27" s="500"/>
      <c r="N27" s="500"/>
      <c r="O27" s="486"/>
      <c r="P27" s="481"/>
      <c r="Q27" s="292"/>
      <c r="R27" s="481"/>
      <c r="S27" s="471" t="s">
        <v>411</v>
      </c>
      <c r="T27" s="494" t="s">
        <v>974</v>
      </c>
      <c r="U27" s="494"/>
      <c r="V27" s="494"/>
      <c r="W27" s="494"/>
      <c r="X27" s="494"/>
      <c r="Y27" s="494"/>
      <c r="Z27" s="494"/>
      <c r="AA27" s="494"/>
      <c r="AB27" s="494"/>
      <c r="AC27" s="494"/>
      <c r="AD27" s="494"/>
      <c r="AE27" s="494"/>
    </row>
    <row r="28" spans="1:31">
      <c r="A28" s="467"/>
      <c r="B28" s="471" t="s">
        <v>410</v>
      </c>
      <c r="C28" s="716" t="s">
        <v>970</v>
      </c>
      <c r="D28" s="494"/>
      <c r="E28" s="494"/>
      <c r="F28" s="494"/>
      <c r="G28" s="494"/>
      <c r="H28" s="494"/>
      <c r="I28" s="494"/>
      <c r="J28" s="494"/>
      <c r="K28" s="494"/>
      <c r="L28" s="494"/>
      <c r="M28" s="494"/>
      <c r="N28" s="494"/>
      <c r="O28" s="470"/>
      <c r="P28" s="467"/>
      <c r="Q28" s="292"/>
      <c r="R28" s="481"/>
      <c r="S28" s="471" t="s">
        <v>411</v>
      </c>
      <c r="T28" s="494" t="s">
        <v>975</v>
      </c>
      <c r="U28" s="494"/>
      <c r="V28" s="494"/>
      <c r="W28" s="494"/>
      <c r="X28" s="494"/>
      <c r="Y28" s="494"/>
      <c r="Z28" s="494"/>
      <c r="AA28" s="494"/>
      <c r="AB28" s="494"/>
      <c r="AC28" s="494"/>
      <c r="AD28" s="494"/>
      <c r="AE28" s="494"/>
    </row>
    <row r="29" spans="1:31" ht="15" customHeight="1">
      <c r="A29" s="467"/>
      <c r="B29" s="471" t="s">
        <v>410</v>
      </c>
      <c r="C29" s="716" t="s">
        <v>971</v>
      </c>
      <c r="D29" s="494"/>
      <c r="E29" s="494"/>
      <c r="F29" s="494"/>
      <c r="G29" s="494"/>
      <c r="H29" s="494"/>
      <c r="I29" s="494"/>
      <c r="J29" s="494"/>
      <c r="K29" s="494"/>
      <c r="L29" s="494"/>
      <c r="M29" s="494"/>
      <c r="N29" s="494"/>
      <c r="O29" s="470"/>
      <c r="P29" s="467"/>
      <c r="Q29" s="292"/>
      <c r="R29" s="503" t="s">
        <v>488</v>
      </c>
      <c r="S29" s="481"/>
      <c r="T29" s="500" t="s">
        <v>977</v>
      </c>
      <c r="U29" s="500"/>
      <c r="V29" s="467"/>
      <c r="W29" s="494"/>
      <c r="X29" s="494"/>
      <c r="Y29" s="494"/>
      <c r="Z29" s="494"/>
      <c r="AA29" s="494"/>
      <c r="AB29" s="494"/>
      <c r="AC29" s="494"/>
      <c r="AD29" s="494"/>
      <c r="AE29" s="494"/>
    </row>
    <row r="30" spans="1:31" ht="15" customHeight="1">
      <c r="A30" s="467"/>
      <c r="B30" s="471" t="s">
        <v>410</v>
      </c>
      <c r="C30" s="716" t="s">
        <v>972</v>
      </c>
      <c r="D30" s="494"/>
      <c r="E30" s="494"/>
      <c r="F30" s="494"/>
      <c r="G30" s="494"/>
      <c r="H30" s="494"/>
      <c r="I30" s="494"/>
      <c r="J30" s="494"/>
      <c r="K30" s="494"/>
      <c r="L30" s="494"/>
      <c r="M30" s="494"/>
      <c r="N30" s="494"/>
      <c r="O30" s="470"/>
      <c r="P30" s="467"/>
      <c r="Q30" s="292"/>
      <c r="R30" s="481"/>
      <c r="S30" s="471" t="s">
        <v>410</v>
      </c>
      <c r="T30" s="494" t="s">
        <v>978</v>
      </c>
      <c r="U30" s="494"/>
      <c r="V30" s="467"/>
      <c r="W30" s="494"/>
      <c r="X30" s="494"/>
      <c r="Y30" s="494"/>
      <c r="Z30" s="494"/>
      <c r="AA30" s="494"/>
      <c r="AB30" s="494"/>
      <c r="AC30" s="494"/>
      <c r="AD30" s="494"/>
      <c r="AE30" s="494"/>
    </row>
    <row r="31" spans="1:31">
      <c r="A31" s="467"/>
      <c r="B31" s="471" t="s">
        <v>411</v>
      </c>
      <c r="C31" s="494" t="s">
        <v>973</v>
      </c>
      <c r="D31" s="494"/>
      <c r="E31" s="494"/>
      <c r="F31" s="494"/>
      <c r="G31" s="494"/>
      <c r="H31" s="494"/>
      <c r="I31" s="494"/>
      <c r="J31" s="494"/>
      <c r="K31" s="494"/>
      <c r="L31" s="494"/>
      <c r="M31" s="494"/>
      <c r="N31" s="494"/>
      <c r="O31" s="470"/>
      <c r="P31" s="467"/>
      <c r="Q31" s="292"/>
      <c r="R31" s="481"/>
      <c r="S31" s="471" t="s">
        <v>410</v>
      </c>
      <c r="T31" s="494" t="s">
        <v>979</v>
      </c>
      <c r="U31" s="494"/>
      <c r="V31" s="481"/>
      <c r="W31" s="481"/>
      <c r="X31" s="481"/>
      <c r="Y31" s="481"/>
      <c r="Z31" s="481"/>
      <c r="AA31" s="481"/>
      <c r="AB31" s="481"/>
      <c r="AC31" s="481"/>
      <c r="AD31" s="481"/>
      <c r="AE31" s="481"/>
    </row>
    <row r="32" spans="1:31">
      <c r="A32" s="467"/>
      <c r="B32" s="471" t="s">
        <v>411</v>
      </c>
      <c r="C32" s="494" t="s">
        <v>974</v>
      </c>
      <c r="D32" s="494"/>
      <c r="E32" s="494"/>
      <c r="F32" s="494"/>
      <c r="G32" s="494"/>
      <c r="H32" s="494"/>
      <c r="I32" s="494"/>
      <c r="J32" s="494"/>
      <c r="K32" s="494"/>
      <c r="L32" s="494"/>
      <c r="M32" s="494"/>
      <c r="N32" s="494"/>
      <c r="O32" s="467"/>
      <c r="P32" s="467"/>
      <c r="Q32" s="292"/>
      <c r="R32" s="481"/>
      <c r="S32" s="471" t="s">
        <v>410</v>
      </c>
      <c r="T32" s="494" t="s">
        <v>980</v>
      </c>
      <c r="U32" s="494"/>
      <c r="V32" s="500"/>
      <c r="W32" s="500"/>
      <c r="X32" s="500"/>
      <c r="Y32" s="500"/>
      <c r="Z32" s="500"/>
      <c r="AA32" s="500"/>
      <c r="AB32" s="500"/>
      <c r="AC32" s="500"/>
      <c r="AD32" s="500"/>
      <c r="AE32" s="500"/>
    </row>
    <row r="33" spans="1:31">
      <c r="A33" s="467"/>
      <c r="B33" s="471" t="s">
        <v>411</v>
      </c>
      <c r="C33" s="494" t="s">
        <v>975</v>
      </c>
      <c r="D33" s="494"/>
      <c r="E33" s="494"/>
      <c r="F33" s="494"/>
      <c r="G33" s="494"/>
      <c r="H33" s="494"/>
      <c r="I33" s="494"/>
      <c r="J33" s="494"/>
      <c r="K33" s="494"/>
      <c r="L33" s="494"/>
      <c r="M33" s="494"/>
      <c r="N33" s="494"/>
      <c r="O33" s="467"/>
      <c r="P33" s="467"/>
      <c r="Q33" s="292"/>
      <c r="R33" s="481"/>
      <c r="S33" s="471" t="s">
        <v>411</v>
      </c>
      <c r="T33" s="494" t="s">
        <v>981</v>
      </c>
      <c r="U33" s="494"/>
      <c r="V33" s="494"/>
      <c r="W33" s="494"/>
      <c r="X33" s="494"/>
      <c r="Y33" s="494"/>
      <c r="Z33" s="494"/>
      <c r="AA33" s="494"/>
      <c r="AB33" s="494"/>
      <c r="AC33" s="494"/>
      <c r="AD33" s="494"/>
      <c r="AE33" s="494"/>
    </row>
    <row r="34" spans="1:31">
      <c r="A34" s="467"/>
      <c r="B34" s="471" t="s">
        <v>130</v>
      </c>
      <c r="C34" s="471" t="s">
        <v>976</v>
      </c>
      <c r="D34" s="481"/>
      <c r="E34" s="481"/>
      <c r="F34" s="481"/>
      <c r="G34" s="481"/>
      <c r="H34" s="481"/>
      <c r="I34" s="481"/>
      <c r="J34" s="481"/>
      <c r="K34" s="481"/>
      <c r="L34" s="481"/>
      <c r="M34" s="481"/>
      <c r="N34" s="481"/>
      <c r="O34" s="467"/>
      <c r="P34" s="467"/>
      <c r="Q34" s="292"/>
      <c r="R34" s="481"/>
      <c r="S34" s="471" t="s">
        <v>411</v>
      </c>
      <c r="T34" s="494" t="s">
        <v>982</v>
      </c>
      <c r="U34" s="494"/>
      <c r="V34" s="494"/>
      <c r="W34" s="494"/>
      <c r="X34" s="494"/>
      <c r="Y34" s="494"/>
      <c r="Z34" s="494"/>
      <c r="AA34" s="494"/>
      <c r="AB34" s="494"/>
      <c r="AC34" s="494"/>
      <c r="AD34" s="494"/>
      <c r="AE34" s="494"/>
    </row>
    <row r="35" spans="1:31" ht="16">
      <c r="A35" s="503" t="s">
        <v>488</v>
      </c>
      <c r="B35" s="481"/>
      <c r="C35" s="500" t="s">
        <v>977</v>
      </c>
      <c r="D35" s="500"/>
      <c r="E35" s="500"/>
      <c r="F35" s="500"/>
      <c r="G35" s="500"/>
      <c r="H35" s="500"/>
      <c r="I35" s="500"/>
      <c r="J35" s="500"/>
      <c r="K35" s="500"/>
      <c r="L35" s="500"/>
      <c r="M35" s="500"/>
      <c r="N35" s="500"/>
      <c r="O35" s="467"/>
      <c r="P35" s="467"/>
      <c r="Q35" s="292"/>
      <c r="R35" s="481"/>
      <c r="S35" s="471" t="s">
        <v>411</v>
      </c>
      <c r="T35" s="494" t="s">
        <v>983</v>
      </c>
      <c r="U35" s="494"/>
      <c r="V35" s="494"/>
      <c r="W35" s="494"/>
      <c r="X35" s="494"/>
      <c r="Y35" s="494"/>
      <c r="Z35" s="494"/>
      <c r="AA35" s="494"/>
      <c r="AB35" s="494"/>
      <c r="AC35" s="494"/>
      <c r="AD35" s="494"/>
      <c r="AE35" s="494"/>
    </row>
    <row r="36" spans="1:31" ht="16">
      <c r="A36" s="467"/>
      <c r="B36" s="471" t="s">
        <v>410</v>
      </c>
      <c r="C36" s="716" t="s">
        <v>978</v>
      </c>
      <c r="D36" s="494"/>
      <c r="E36" s="494"/>
      <c r="F36" s="494"/>
      <c r="G36" s="494"/>
      <c r="H36" s="494"/>
      <c r="I36" s="494"/>
      <c r="J36" s="494"/>
      <c r="K36" s="494"/>
      <c r="L36" s="494"/>
      <c r="M36" s="494"/>
      <c r="N36" s="494"/>
      <c r="O36" s="467"/>
      <c r="P36" s="467"/>
      <c r="Q36" s="292"/>
      <c r="R36" s="503" t="s">
        <v>488</v>
      </c>
      <c r="S36" s="495"/>
      <c r="T36" s="500" t="s">
        <v>985</v>
      </c>
      <c r="U36" s="467"/>
      <c r="V36" s="494"/>
      <c r="W36" s="494"/>
      <c r="X36" s="494"/>
      <c r="Y36" s="494"/>
      <c r="Z36" s="494"/>
      <c r="AA36" s="494"/>
      <c r="AB36" s="494"/>
      <c r="AC36" s="494"/>
      <c r="AD36" s="494"/>
      <c r="AE36" s="494"/>
    </row>
    <row r="37" spans="1:31">
      <c r="A37" s="467"/>
      <c r="B37" s="471" t="s">
        <v>410</v>
      </c>
      <c r="C37" s="716" t="s">
        <v>979</v>
      </c>
      <c r="D37" s="494"/>
      <c r="E37" s="494"/>
      <c r="F37" s="494"/>
      <c r="G37" s="494"/>
      <c r="H37" s="494"/>
      <c r="I37" s="494"/>
      <c r="J37" s="494"/>
      <c r="K37" s="494"/>
      <c r="L37" s="494"/>
      <c r="M37" s="494"/>
      <c r="N37" s="494"/>
      <c r="O37" s="467"/>
      <c r="P37" s="467"/>
      <c r="Q37" s="292"/>
      <c r="R37" s="495"/>
      <c r="S37" s="497" t="s">
        <v>410</v>
      </c>
      <c r="T37" s="434" t="s">
        <v>986</v>
      </c>
      <c r="U37" s="467"/>
      <c r="V37" s="494"/>
      <c r="W37" s="494"/>
      <c r="X37" s="494"/>
      <c r="Y37" s="494"/>
      <c r="Z37" s="494"/>
      <c r="AA37" s="494"/>
      <c r="AB37" s="494"/>
      <c r="AC37" s="494"/>
      <c r="AD37" s="494"/>
      <c r="AE37" s="494"/>
    </row>
    <row r="38" spans="1:31">
      <c r="A38" s="467"/>
      <c r="B38" s="471" t="s">
        <v>410</v>
      </c>
      <c r="C38" s="716" t="s">
        <v>980</v>
      </c>
      <c r="D38" s="494"/>
      <c r="E38" s="494"/>
      <c r="F38" s="494"/>
      <c r="G38" s="494"/>
      <c r="H38" s="494"/>
      <c r="I38" s="494"/>
      <c r="J38" s="494"/>
      <c r="K38" s="494"/>
      <c r="L38" s="494"/>
      <c r="M38" s="494"/>
      <c r="N38" s="494"/>
      <c r="O38" s="470"/>
      <c r="P38" s="467"/>
      <c r="Q38" s="292"/>
      <c r="R38" s="495"/>
      <c r="S38" s="497" t="s">
        <v>410</v>
      </c>
      <c r="T38" s="434" t="s">
        <v>987</v>
      </c>
      <c r="U38" s="467"/>
      <c r="V38" s="494"/>
      <c r="W38" s="494"/>
      <c r="X38" s="494"/>
      <c r="Y38" s="494"/>
      <c r="Z38" s="494"/>
      <c r="AA38" s="494"/>
      <c r="AB38" s="494"/>
      <c r="AC38" s="494"/>
      <c r="AD38" s="494"/>
      <c r="AE38" s="494"/>
    </row>
    <row r="39" spans="1:31">
      <c r="A39" s="467"/>
      <c r="B39" s="471" t="s">
        <v>411</v>
      </c>
      <c r="C39" s="494" t="s">
        <v>981</v>
      </c>
      <c r="D39" s="494"/>
      <c r="E39" s="494"/>
      <c r="F39" s="494"/>
      <c r="G39" s="494"/>
      <c r="H39" s="494"/>
      <c r="I39" s="494"/>
      <c r="J39" s="494"/>
      <c r="K39" s="494"/>
      <c r="L39" s="494"/>
      <c r="M39" s="494"/>
      <c r="N39" s="494"/>
      <c r="O39" s="470"/>
      <c r="P39" s="467"/>
      <c r="Q39" s="292"/>
      <c r="R39" s="495"/>
      <c r="S39" s="497" t="s">
        <v>410</v>
      </c>
      <c r="T39" s="434" t="s">
        <v>988</v>
      </c>
      <c r="U39" s="496"/>
      <c r="V39" s="496"/>
      <c r="W39" s="496"/>
      <c r="X39" s="496"/>
      <c r="Y39" s="496"/>
      <c r="Z39" s="496"/>
      <c r="AA39" s="496"/>
      <c r="AB39" s="496"/>
      <c r="AC39" s="496"/>
      <c r="AD39" s="496"/>
      <c r="AE39" s="496"/>
    </row>
    <row r="40" spans="1:31">
      <c r="A40" s="467"/>
      <c r="B40" s="471" t="s">
        <v>411</v>
      </c>
      <c r="C40" s="494" t="s">
        <v>982</v>
      </c>
      <c r="D40" s="494"/>
      <c r="E40" s="494"/>
      <c r="F40" s="494"/>
      <c r="G40" s="494"/>
      <c r="H40" s="494"/>
      <c r="I40" s="494"/>
      <c r="J40" s="494"/>
      <c r="K40" s="494"/>
      <c r="L40" s="494"/>
      <c r="M40" s="494"/>
      <c r="N40" s="494"/>
      <c r="O40" s="470"/>
      <c r="P40" s="467"/>
      <c r="Q40" s="292"/>
      <c r="R40" s="495"/>
      <c r="S40" s="497" t="s">
        <v>410</v>
      </c>
      <c r="T40" s="434" t="s">
        <v>989</v>
      </c>
      <c r="U40" s="500"/>
      <c r="V40" s="500"/>
      <c r="W40" s="500"/>
      <c r="X40" s="500"/>
      <c r="Y40" s="500"/>
      <c r="Z40" s="500"/>
      <c r="AA40" s="500"/>
      <c r="AB40" s="500"/>
      <c r="AC40" s="500"/>
      <c r="AD40" s="500"/>
      <c r="AE40" s="500"/>
    </row>
    <row r="41" spans="1:31">
      <c r="A41" s="467"/>
      <c r="B41" s="471" t="s">
        <v>411</v>
      </c>
      <c r="C41" s="494" t="s">
        <v>983</v>
      </c>
      <c r="D41" s="494"/>
      <c r="E41" s="494"/>
      <c r="F41" s="494"/>
      <c r="G41" s="494"/>
      <c r="H41" s="494"/>
      <c r="I41" s="494"/>
      <c r="J41" s="494"/>
      <c r="K41" s="494"/>
      <c r="L41" s="494"/>
      <c r="M41" s="494"/>
      <c r="N41" s="494"/>
      <c r="O41" s="470"/>
      <c r="P41" s="467"/>
      <c r="Q41" s="292"/>
      <c r="R41" s="495"/>
      <c r="S41" s="497" t="s">
        <v>411</v>
      </c>
      <c r="T41" s="434" t="s">
        <v>990</v>
      </c>
      <c r="U41" s="434"/>
      <c r="V41" s="434"/>
      <c r="W41" s="434"/>
      <c r="X41" s="434"/>
      <c r="Y41" s="434"/>
      <c r="Z41" s="434"/>
      <c r="AA41" s="434"/>
      <c r="AB41" s="434"/>
      <c r="AC41" s="434"/>
      <c r="AD41" s="434"/>
      <c r="AE41" s="434"/>
    </row>
    <row r="42" spans="1:31">
      <c r="A42" s="467"/>
      <c r="B42" s="471" t="s">
        <v>130</v>
      </c>
      <c r="C42" s="496" t="s">
        <v>984</v>
      </c>
      <c r="D42" s="496"/>
      <c r="E42" s="496"/>
      <c r="F42" s="496"/>
      <c r="G42" s="496"/>
      <c r="H42" s="496"/>
      <c r="I42" s="496"/>
      <c r="J42" s="496"/>
      <c r="K42" s="496"/>
      <c r="L42" s="496"/>
      <c r="M42" s="496"/>
      <c r="N42" s="496"/>
      <c r="O42" s="467"/>
      <c r="P42" s="467"/>
      <c r="Q42" s="292"/>
      <c r="R42" s="495"/>
      <c r="S42" s="497" t="s">
        <v>411</v>
      </c>
      <c r="T42" s="434" t="s">
        <v>991</v>
      </c>
      <c r="U42" s="392"/>
      <c r="V42" s="392"/>
      <c r="W42" s="392"/>
      <c r="X42" s="392"/>
      <c r="Y42" s="392"/>
      <c r="Z42" s="392"/>
      <c r="AA42" s="392"/>
      <c r="AB42" s="392"/>
      <c r="AC42" s="392"/>
      <c r="AD42" s="392"/>
      <c r="AE42" s="392"/>
    </row>
    <row r="43" spans="1:31" ht="16">
      <c r="A43" s="503" t="s">
        <v>488</v>
      </c>
      <c r="B43" s="495"/>
      <c r="C43" s="500" t="s">
        <v>985</v>
      </c>
      <c r="D43" s="500"/>
      <c r="E43" s="500"/>
      <c r="F43" s="500"/>
      <c r="G43" s="500"/>
      <c r="H43" s="500"/>
      <c r="I43" s="500"/>
      <c r="J43" s="500"/>
      <c r="K43" s="500"/>
      <c r="L43" s="500"/>
      <c r="M43" s="500"/>
      <c r="N43" s="500"/>
      <c r="O43" s="467"/>
      <c r="P43" s="467"/>
      <c r="Q43" s="604"/>
      <c r="R43" s="467"/>
      <c r="S43" s="467"/>
      <c r="T43" s="467"/>
      <c r="U43" s="467"/>
      <c r="V43" s="467"/>
      <c r="W43" s="467"/>
      <c r="X43" s="467"/>
      <c r="Y43" s="467"/>
      <c r="Z43" s="467"/>
      <c r="AA43" s="467"/>
      <c r="AB43" s="467"/>
      <c r="AC43" s="467"/>
      <c r="AD43" s="467"/>
      <c r="AE43" s="467"/>
    </row>
    <row r="44" spans="1:31" ht="15" customHeight="1">
      <c r="A44" s="495"/>
      <c r="B44" s="497" t="s">
        <v>410</v>
      </c>
      <c r="C44" s="721" t="s">
        <v>986</v>
      </c>
      <c r="D44" s="434"/>
      <c r="E44" s="434"/>
      <c r="F44" s="434"/>
      <c r="G44" s="434"/>
      <c r="H44" s="434"/>
      <c r="I44" s="434"/>
      <c r="J44" s="434"/>
      <c r="K44" s="434"/>
      <c r="L44" s="434"/>
      <c r="M44" s="434"/>
      <c r="N44" s="434"/>
      <c r="O44" s="467"/>
      <c r="P44" s="467"/>
      <c r="Q44" s="292"/>
      <c r="R44" s="499" t="s">
        <v>186</v>
      </c>
      <c r="S44" s="467"/>
      <c r="T44" s="467"/>
      <c r="U44" s="467"/>
      <c r="V44" s="467"/>
      <c r="W44" s="468"/>
      <c r="X44" s="467"/>
      <c r="Y44" s="467"/>
      <c r="Z44" s="467"/>
      <c r="AA44" s="467"/>
      <c r="AB44" s="467"/>
      <c r="AC44" s="467"/>
      <c r="AD44" s="434"/>
      <c r="AE44" s="434"/>
    </row>
    <row r="45" spans="1:31">
      <c r="A45" s="328"/>
      <c r="B45" s="497" t="s">
        <v>410</v>
      </c>
      <c r="C45" s="721" t="s">
        <v>987</v>
      </c>
      <c r="D45" s="392"/>
      <c r="E45" s="392"/>
      <c r="F45" s="392"/>
      <c r="G45" s="392"/>
      <c r="H45" s="392"/>
      <c r="I45" s="392"/>
      <c r="J45" s="392"/>
      <c r="K45" s="392"/>
      <c r="L45" s="392"/>
      <c r="M45" s="392"/>
      <c r="N45" s="392"/>
      <c r="O45" s="467"/>
      <c r="P45" s="467"/>
      <c r="Q45" s="292"/>
      <c r="R45" s="471" t="s">
        <v>994</v>
      </c>
      <c r="S45" s="468"/>
      <c r="T45" s="467"/>
      <c r="U45" s="467"/>
      <c r="V45" s="467"/>
      <c r="W45" s="468"/>
      <c r="X45" s="467"/>
      <c r="Y45" s="467"/>
      <c r="Z45" s="467"/>
      <c r="AA45" s="467"/>
      <c r="AB45" s="467"/>
      <c r="AC45" s="481"/>
      <c r="AD45" s="434"/>
      <c r="AE45" s="434"/>
    </row>
    <row r="46" spans="1:31" ht="15" customHeight="1">
      <c r="A46" s="328"/>
      <c r="B46" s="497" t="s">
        <v>410</v>
      </c>
      <c r="C46" s="721" t="s">
        <v>988</v>
      </c>
      <c r="D46" s="434"/>
      <c r="E46" s="434"/>
      <c r="F46" s="434"/>
      <c r="G46" s="434"/>
      <c r="H46" s="434"/>
      <c r="I46" s="434"/>
      <c r="J46" s="434"/>
      <c r="K46" s="434"/>
      <c r="L46" s="434"/>
      <c r="M46" s="434"/>
      <c r="N46" s="434"/>
      <c r="O46" s="470"/>
      <c r="P46" s="467"/>
      <c r="Q46" s="292"/>
      <c r="R46" s="468"/>
      <c r="S46" s="481" t="s">
        <v>995</v>
      </c>
      <c r="T46" s="281"/>
      <c r="U46" s="467"/>
      <c r="V46" s="467"/>
      <c r="W46" s="468"/>
      <c r="X46" s="467"/>
      <c r="Y46" s="467"/>
      <c r="Z46" s="467"/>
      <c r="AA46" s="467"/>
      <c r="AB46" s="467"/>
      <c r="AC46" s="481"/>
      <c r="AD46" s="434"/>
      <c r="AE46" s="434"/>
    </row>
    <row r="47" spans="1:31">
      <c r="A47" s="328"/>
      <c r="B47" s="497" t="s">
        <v>410</v>
      </c>
      <c r="C47" s="721" t="s">
        <v>989</v>
      </c>
      <c r="D47" s="434"/>
      <c r="E47" s="434"/>
      <c r="F47" s="434"/>
      <c r="G47" s="434"/>
      <c r="H47" s="434"/>
      <c r="I47" s="434"/>
      <c r="J47" s="434"/>
      <c r="K47" s="434"/>
      <c r="L47" s="434"/>
      <c r="M47" s="434"/>
      <c r="N47" s="434"/>
      <c r="O47" s="486"/>
      <c r="P47" s="481"/>
      <c r="Q47" s="292"/>
      <c r="R47" s="468"/>
      <c r="S47" s="481" t="s">
        <v>996</v>
      </c>
      <c r="T47" s="489"/>
      <c r="U47" s="467"/>
      <c r="V47" s="467"/>
      <c r="W47" s="468"/>
      <c r="X47" s="467"/>
      <c r="Y47" s="467"/>
      <c r="Z47" s="467"/>
      <c r="AA47" s="467"/>
      <c r="AB47" s="467"/>
      <c r="AC47" s="481"/>
      <c r="AD47" s="434"/>
      <c r="AE47" s="434"/>
    </row>
    <row r="48" spans="1:31">
      <c r="A48" s="328"/>
      <c r="B48" s="497" t="s">
        <v>411</v>
      </c>
      <c r="C48" s="434" t="s">
        <v>990</v>
      </c>
      <c r="D48" s="434"/>
      <c r="E48" s="434"/>
      <c r="F48" s="434"/>
      <c r="G48" s="434"/>
      <c r="H48" s="434"/>
      <c r="I48" s="434"/>
      <c r="J48" s="434"/>
      <c r="K48" s="434"/>
      <c r="L48" s="434"/>
      <c r="M48" s="434"/>
      <c r="N48" s="434"/>
      <c r="O48" s="470"/>
      <c r="P48" s="467"/>
      <c r="Q48" s="292"/>
      <c r="R48" s="471"/>
      <c r="S48" s="469" t="s">
        <v>157</v>
      </c>
      <c r="T48" s="281"/>
      <c r="U48" s="467"/>
      <c r="V48" s="467"/>
      <c r="W48" s="468"/>
      <c r="X48" s="467"/>
      <c r="Y48" s="467"/>
      <c r="Z48" s="467"/>
      <c r="AA48" s="467"/>
      <c r="AB48" s="467"/>
      <c r="AC48" s="481"/>
      <c r="AD48" s="467"/>
      <c r="AE48" s="467"/>
    </row>
    <row r="49" spans="1:31">
      <c r="A49" s="328"/>
      <c r="B49" s="497" t="s">
        <v>411</v>
      </c>
      <c r="C49" s="434" t="s">
        <v>991</v>
      </c>
      <c r="D49" s="434"/>
      <c r="E49" s="434"/>
      <c r="F49" s="434"/>
      <c r="G49" s="434"/>
      <c r="H49" s="434"/>
      <c r="I49" s="434"/>
      <c r="J49" s="434"/>
      <c r="K49" s="434"/>
      <c r="L49" s="434"/>
      <c r="M49" s="434"/>
      <c r="N49" s="434"/>
      <c r="O49" s="470"/>
      <c r="P49" s="467"/>
      <c r="Q49" s="292"/>
      <c r="R49" s="467"/>
      <c r="S49" s="469" t="s">
        <v>158</v>
      </c>
      <c r="T49" s="480"/>
      <c r="U49" s="467"/>
      <c r="V49" s="467"/>
      <c r="W49" s="467"/>
      <c r="X49" s="467"/>
      <c r="Y49" s="467"/>
      <c r="Z49" s="467"/>
      <c r="AA49" s="467"/>
      <c r="AB49" s="467"/>
      <c r="AC49" s="467"/>
      <c r="AD49" s="467"/>
      <c r="AE49" s="467"/>
    </row>
    <row r="50" spans="1:31">
      <c r="A50" s="328"/>
      <c r="B50" s="497" t="s">
        <v>130</v>
      </c>
      <c r="C50" s="1084" t="s">
        <v>992</v>
      </c>
      <c r="D50" s="1084"/>
      <c r="E50" s="1084"/>
      <c r="F50" s="1084"/>
      <c r="G50" s="1084"/>
      <c r="H50" s="1084"/>
      <c r="I50" s="1084"/>
      <c r="J50" s="1084"/>
      <c r="K50" s="1084"/>
      <c r="L50" s="1084"/>
      <c r="M50" s="1084"/>
      <c r="N50" s="1084"/>
      <c r="O50" s="470"/>
      <c r="P50" s="467"/>
      <c r="Q50" s="292"/>
      <c r="R50" s="467"/>
      <c r="S50" s="469" t="s">
        <v>159</v>
      </c>
      <c r="T50" s="489"/>
      <c r="U50" s="467"/>
      <c r="V50" s="467"/>
      <c r="W50" s="467"/>
      <c r="X50" s="467"/>
      <c r="Y50" s="467"/>
      <c r="Z50" s="467"/>
      <c r="AA50" s="467"/>
      <c r="AB50" s="467"/>
      <c r="AC50" s="467"/>
      <c r="AD50" s="467"/>
      <c r="AE50" s="467"/>
    </row>
    <row r="51" spans="1:31">
      <c r="Q51" s="292"/>
      <c r="R51" s="467"/>
      <c r="S51" s="469" t="s">
        <v>160</v>
      </c>
      <c r="T51" s="281"/>
      <c r="U51" s="467"/>
      <c r="V51" s="467"/>
      <c r="W51" s="467"/>
      <c r="X51" s="467"/>
      <c r="Y51" s="467"/>
      <c r="Z51" s="467"/>
      <c r="AA51" s="467"/>
      <c r="AB51" s="467"/>
      <c r="AC51" s="467"/>
      <c r="AD51" s="467"/>
      <c r="AE51" s="467"/>
    </row>
    <row r="52" spans="1:31">
      <c r="Q52" s="292"/>
      <c r="R52" s="467"/>
      <c r="S52" s="481" t="s">
        <v>997</v>
      </c>
      <c r="T52" s="281"/>
      <c r="U52" s="467"/>
      <c r="V52" s="467"/>
      <c r="W52" s="467"/>
      <c r="X52" s="467"/>
      <c r="Y52" s="467"/>
      <c r="Z52" s="467"/>
      <c r="AA52" s="467"/>
      <c r="AB52" s="467"/>
      <c r="AC52" s="467"/>
      <c r="AD52" s="467"/>
      <c r="AE52" s="467"/>
    </row>
    <row r="53" spans="1:31">
      <c r="Q53" s="292"/>
      <c r="R53" s="467"/>
      <c r="S53" s="481" t="s">
        <v>998</v>
      </c>
      <c r="T53" s="489"/>
      <c r="U53" s="467"/>
      <c r="V53" s="467"/>
      <c r="W53" s="467"/>
      <c r="X53" s="467"/>
      <c r="Y53" s="467"/>
      <c r="Z53" s="467"/>
      <c r="AA53" s="467"/>
      <c r="AB53" s="467"/>
      <c r="AC53" s="467"/>
      <c r="AD53" s="467"/>
      <c r="AE53" s="467"/>
    </row>
    <row r="54" spans="1:31">
      <c r="Q54" s="292"/>
      <c r="R54" s="467"/>
      <c r="S54" s="469" t="s">
        <v>161</v>
      </c>
      <c r="T54" s="480"/>
      <c r="U54" s="467"/>
      <c r="V54" s="467"/>
      <c r="W54" s="467"/>
      <c r="X54" s="467"/>
      <c r="Y54" s="467"/>
      <c r="Z54" s="467"/>
      <c r="AA54" s="467"/>
      <c r="AB54" s="467"/>
      <c r="AC54" s="467"/>
      <c r="AD54" s="467"/>
      <c r="AE54" s="467"/>
    </row>
    <row r="55" spans="1:31">
      <c r="Q55" s="292"/>
      <c r="R55" s="481"/>
      <c r="S55" s="469" t="s">
        <v>162</v>
      </c>
      <c r="T55" s="489"/>
      <c r="U55" s="481"/>
      <c r="V55" s="481"/>
      <c r="W55" s="481"/>
      <c r="X55" s="481"/>
      <c r="Y55" s="481"/>
      <c r="Z55" s="481"/>
      <c r="AA55" s="481"/>
      <c r="AB55" s="481"/>
      <c r="AC55" s="481"/>
      <c r="AD55" s="481"/>
      <c r="AE55" s="481"/>
    </row>
    <row r="56" spans="1:31">
      <c r="Q56" s="292"/>
      <c r="R56" s="481"/>
      <c r="S56" s="469" t="s">
        <v>163</v>
      </c>
      <c r="T56" s="489"/>
      <c r="U56" s="481"/>
      <c r="V56" s="481"/>
      <c r="W56" s="481"/>
      <c r="X56" s="481"/>
      <c r="Y56" s="481"/>
      <c r="Z56" s="481"/>
      <c r="AA56" s="481"/>
      <c r="AB56" s="481"/>
      <c r="AC56" s="481"/>
      <c r="AD56" s="481"/>
      <c r="AE56" s="481"/>
    </row>
    <row r="57" spans="1:31" ht="16">
      <c r="Q57" s="292"/>
      <c r="R57" s="471"/>
      <c r="S57" s="528" t="s">
        <v>999</v>
      </c>
      <c r="T57" s="281"/>
      <c r="U57" s="481"/>
      <c r="V57" s="481"/>
      <c r="W57" s="481"/>
      <c r="X57" s="481"/>
      <c r="Y57" s="481"/>
      <c r="Z57" s="481"/>
      <c r="AA57" s="481"/>
      <c r="AB57" s="481"/>
      <c r="AC57" s="481"/>
      <c r="AD57" s="481"/>
      <c r="AE57" s="481"/>
    </row>
    <row r="58" spans="1:31" ht="16">
      <c r="Q58" s="292"/>
      <c r="R58" s="481"/>
      <c r="S58" s="528" t="s">
        <v>1000</v>
      </c>
      <c r="T58" s="481"/>
      <c r="U58" s="481"/>
      <c r="V58" s="481"/>
      <c r="W58" s="481"/>
      <c r="X58" s="467"/>
      <c r="Y58" s="467"/>
      <c r="Z58" s="467"/>
      <c r="AA58" s="467"/>
      <c r="AB58" s="467"/>
      <c r="AC58" s="467"/>
      <c r="AD58" s="481"/>
      <c r="AE58" s="481"/>
    </row>
    <row r="59" spans="1:31" ht="16">
      <c r="Q59" s="292"/>
      <c r="R59" s="481"/>
      <c r="S59" s="528" t="s">
        <v>1001</v>
      </c>
      <c r="T59" s="481"/>
      <c r="U59" s="481"/>
      <c r="V59" s="481"/>
      <c r="W59" s="481"/>
      <c r="X59" s="481"/>
      <c r="Y59" s="481"/>
      <c r="Z59" s="481"/>
      <c r="AA59" s="481"/>
      <c r="AB59" s="481"/>
      <c r="AC59" s="481"/>
      <c r="AD59" s="481"/>
      <c r="AE59" s="481"/>
    </row>
    <row r="60" spans="1:31">
      <c r="Q60" s="292"/>
      <c r="R60" s="467"/>
      <c r="S60" s="467"/>
      <c r="T60" s="467"/>
      <c r="U60" s="467"/>
      <c r="V60" s="467"/>
      <c r="W60" s="467"/>
      <c r="X60" s="467"/>
      <c r="Y60" s="467"/>
      <c r="Z60" s="481"/>
      <c r="AA60" s="481"/>
      <c r="AB60" s="481"/>
      <c r="AC60" s="481"/>
      <c r="AD60" s="481"/>
      <c r="AE60" s="481"/>
    </row>
    <row r="61" spans="1:31">
      <c r="Q61" s="292"/>
      <c r="R61" s="479" t="s">
        <v>1002</v>
      </c>
      <c r="S61" s="479"/>
      <c r="T61" s="479"/>
      <c r="U61" s="479"/>
      <c r="V61" s="479"/>
      <c r="W61" s="479"/>
      <c r="X61" s="479"/>
      <c r="Y61" s="479"/>
      <c r="Z61" s="471"/>
      <c r="AA61" s="481"/>
      <c r="AB61" s="481"/>
      <c r="AC61" s="481"/>
      <c r="AD61" s="481"/>
      <c r="AE61" s="481"/>
    </row>
    <row r="62" spans="1:31">
      <c r="Q62" s="292"/>
      <c r="R62" s="481"/>
      <c r="S62" s="481" t="s">
        <v>1003</v>
      </c>
      <c r="T62" s="481"/>
      <c r="U62" s="481"/>
      <c r="V62" s="481"/>
      <c r="W62" s="481"/>
      <c r="X62" s="481"/>
      <c r="Y62" s="481"/>
      <c r="Z62" s="467"/>
      <c r="AA62" s="481"/>
      <c r="AB62" s="481"/>
      <c r="AC62" s="481"/>
      <c r="AD62" s="481"/>
      <c r="AE62" s="481"/>
    </row>
    <row r="63" spans="1:31">
      <c r="Q63" s="292"/>
      <c r="R63" s="467"/>
      <c r="S63" s="467" t="s">
        <v>1004</v>
      </c>
      <c r="T63" s="467"/>
      <c r="U63" s="467"/>
      <c r="V63" s="467"/>
      <c r="W63" s="467"/>
      <c r="X63" s="467"/>
      <c r="Y63" s="467"/>
      <c r="Z63" s="467"/>
      <c r="AA63" s="481"/>
      <c r="AB63" s="481"/>
      <c r="AC63" s="481"/>
      <c r="AD63" s="481"/>
      <c r="AE63" s="481"/>
    </row>
    <row r="64" spans="1:31">
      <c r="Q64" s="292"/>
      <c r="R64" s="467"/>
      <c r="S64" s="467" t="s">
        <v>1005</v>
      </c>
      <c r="T64" s="467"/>
      <c r="U64" s="467"/>
      <c r="V64" s="467"/>
      <c r="W64" s="467"/>
      <c r="X64" s="467"/>
      <c r="Y64" s="467"/>
      <c r="Z64" s="467"/>
      <c r="AA64" s="481"/>
      <c r="AB64" s="481"/>
      <c r="AC64" s="481"/>
      <c r="AD64" s="481"/>
      <c r="AE64" s="481"/>
    </row>
    <row r="65" spans="17:31">
      <c r="Q65" s="292"/>
      <c r="R65" s="481"/>
      <c r="S65" s="481" t="s">
        <v>1006</v>
      </c>
      <c r="T65" s="481"/>
      <c r="U65" s="481"/>
      <c r="V65" s="481"/>
      <c r="W65" s="481"/>
      <c r="X65" s="481"/>
      <c r="Y65" s="481"/>
      <c r="Z65" s="481"/>
      <c r="AA65" s="481"/>
      <c r="AB65" s="481"/>
      <c r="AC65" s="481"/>
      <c r="AD65" s="481"/>
      <c r="AE65" s="481"/>
    </row>
    <row r="66" spans="17:31">
      <c r="Q66" s="292"/>
      <c r="R66" s="481"/>
      <c r="S66" s="495" t="s">
        <v>928</v>
      </c>
      <c r="T66" s="481"/>
      <c r="U66" s="481"/>
      <c r="V66" s="481"/>
      <c r="W66" s="481"/>
      <c r="X66" s="481"/>
      <c r="Y66" s="481"/>
      <c r="Z66" s="481"/>
      <c r="AA66" s="481"/>
      <c r="AB66" s="481"/>
      <c r="AC66" s="481"/>
      <c r="AD66" s="481"/>
      <c r="AE66" s="481"/>
    </row>
    <row r="67" spans="17:31">
      <c r="Q67" s="292"/>
      <c r="R67" s="481"/>
      <c r="S67" s="495" t="s">
        <v>1007</v>
      </c>
      <c r="T67" s="481"/>
      <c r="U67" s="481"/>
      <c r="V67" s="481"/>
      <c r="W67" s="481"/>
      <c r="X67" s="481"/>
      <c r="Y67" s="481"/>
      <c r="Z67" s="481"/>
      <c r="AA67" s="481"/>
      <c r="AB67" s="481"/>
      <c r="AC67" s="481"/>
      <c r="AD67" s="481"/>
      <c r="AE67" s="481"/>
    </row>
    <row r="68" spans="17:31">
      <c r="Q68" s="292"/>
      <c r="R68" s="481"/>
      <c r="S68" s="481"/>
      <c r="T68" s="481"/>
      <c r="U68" s="481"/>
      <c r="V68" s="481"/>
      <c r="W68" s="481"/>
      <c r="X68" s="481"/>
      <c r="Y68" s="481"/>
      <c r="Z68" s="481"/>
      <c r="AA68" s="467"/>
      <c r="AB68" s="467"/>
      <c r="AC68" s="481"/>
      <c r="AD68" s="467"/>
      <c r="AE68" s="467"/>
    </row>
    <row r="69" spans="17:31">
      <c r="Q69" s="292"/>
      <c r="R69" s="497" t="s">
        <v>1008</v>
      </c>
      <c r="S69" s="481"/>
      <c r="T69" s="481"/>
      <c r="U69" s="481"/>
      <c r="V69" s="481"/>
      <c r="W69" s="467"/>
      <c r="X69" s="467"/>
      <c r="Y69" s="467"/>
      <c r="Z69" s="467"/>
      <c r="AA69" s="467"/>
      <c r="AB69" s="467"/>
      <c r="AC69" s="481"/>
      <c r="AD69" s="467"/>
      <c r="AE69" s="467"/>
    </row>
    <row r="70" spans="17:31">
      <c r="Q70" s="292"/>
      <c r="R70" s="481"/>
      <c r="S70" s="481" t="s">
        <v>1009</v>
      </c>
      <c r="T70" s="481"/>
      <c r="U70" s="481"/>
      <c r="V70" s="481"/>
      <c r="W70" s="467"/>
      <c r="X70" s="467"/>
      <c r="Y70" s="467"/>
      <c r="Z70" s="467"/>
      <c r="AA70" s="467"/>
      <c r="AB70" s="467"/>
      <c r="AC70" s="481"/>
      <c r="AD70" s="467"/>
      <c r="AE70" s="467"/>
    </row>
    <row r="71" spans="17:31">
      <c r="Q71" s="292"/>
      <c r="R71" s="515"/>
      <c r="S71" s="481" t="s">
        <v>1010</v>
      </c>
      <c r="T71" s="481"/>
      <c r="U71" s="481"/>
      <c r="V71" s="481"/>
      <c r="W71" s="467"/>
      <c r="X71" s="467"/>
      <c r="Y71" s="467"/>
      <c r="Z71" s="467"/>
      <c r="AA71" s="467"/>
      <c r="AB71" s="467"/>
      <c r="AC71" s="481"/>
      <c r="AD71" s="467"/>
      <c r="AE71" s="467"/>
    </row>
    <row r="72" spans="17:31">
      <c r="Q72" s="292"/>
      <c r="R72" s="515"/>
      <c r="S72" s="467" t="s">
        <v>1011</v>
      </c>
      <c r="T72" s="467"/>
      <c r="U72" s="467"/>
      <c r="V72" s="467"/>
      <c r="W72" s="496"/>
      <c r="X72" s="496"/>
      <c r="Y72" s="496"/>
      <c r="Z72" s="496"/>
      <c r="AA72" s="496"/>
      <c r="AB72" s="496"/>
      <c r="AC72" s="496"/>
      <c r="AD72" s="467"/>
      <c r="AE72" s="467"/>
    </row>
    <row r="73" spans="17:31">
      <c r="Q73" s="292"/>
      <c r="R73" s="515"/>
      <c r="S73" s="490" t="s">
        <v>1012</v>
      </c>
      <c r="T73" s="467"/>
      <c r="U73" s="467"/>
      <c r="V73" s="467"/>
      <c r="W73" s="496"/>
      <c r="X73" s="496"/>
      <c r="Y73" s="496"/>
      <c r="Z73" s="496"/>
      <c r="AA73" s="496"/>
      <c r="AB73" s="496"/>
      <c r="AC73" s="496"/>
      <c r="AD73" s="467"/>
      <c r="AE73" s="467"/>
    </row>
    <row r="74" spans="17:31">
      <c r="Q74" s="292"/>
      <c r="R74" s="467"/>
      <c r="S74" s="467"/>
      <c r="T74" s="468"/>
      <c r="U74" s="468"/>
      <c r="V74" s="468"/>
      <c r="W74" s="467"/>
      <c r="X74" s="467"/>
      <c r="Y74" s="467"/>
      <c r="Z74" s="467"/>
      <c r="AA74" s="467"/>
      <c r="AB74" s="467"/>
      <c r="AC74" s="467"/>
      <c r="AD74" s="467"/>
      <c r="AE74" s="467"/>
    </row>
    <row r="75" spans="17:31">
      <c r="Q75" s="292"/>
      <c r="R75" s="497" t="s">
        <v>535</v>
      </c>
      <c r="S75" s="468"/>
      <c r="T75" s="468"/>
      <c r="U75" s="468"/>
      <c r="V75" s="467"/>
      <c r="W75" s="467"/>
      <c r="X75" s="467"/>
      <c r="Y75" s="467"/>
      <c r="Z75" s="467"/>
      <c r="AA75" s="467"/>
      <c r="AB75" s="467"/>
      <c r="AC75" s="467"/>
      <c r="AD75" s="467"/>
      <c r="AE75" s="467"/>
    </row>
    <row r="76" spans="17:31">
      <c r="Q76" s="292"/>
      <c r="R76" s="496" t="s">
        <v>962</v>
      </c>
      <c r="S76" s="496"/>
      <c r="T76" s="496"/>
      <c r="U76" s="496"/>
      <c r="V76" s="496"/>
      <c r="W76" s="392"/>
      <c r="X76" s="392"/>
      <c r="Y76" s="392"/>
      <c r="Z76" s="392"/>
      <c r="AA76" s="392"/>
      <c r="AB76" s="392"/>
      <c r="AC76" s="392"/>
      <c r="AD76" s="467"/>
      <c r="AE76" s="467"/>
    </row>
    <row r="77" spans="17:31">
      <c r="Q77" s="292"/>
      <c r="R77" s="496" t="s">
        <v>968</v>
      </c>
      <c r="S77" s="496"/>
      <c r="T77" s="496"/>
      <c r="U77" s="496"/>
      <c r="V77" s="496"/>
      <c r="W77" s="467"/>
      <c r="X77" s="467"/>
      <c r="Y77" s="467"/>
      <c r="Z77" s="467"/>
      <c r="AA77" s="467"/>
      <c r="AB77" s="467"/>
      <c r="AC77" s="467"/>
      <c r="AD77" s="467"/>
      <c r="AE77" s="467"/>
    </row>
    <row r="78" spans="17:31">
      <c r="Q78" s="292"/>
      <c r="R78" s="471" t="s">
        <v>1013</v>
      </c>
      <c r="S78" s="467"/>
      <c r="T78" s="489"/>
      <c r="U78" s="468"/>
      <c r="V78" s="467"/>
      <c r="W78" s="467"/>
      <c r="X78" s="467"/>
      <c r="Y78" s="467"/>
      <c r="Z78" s="467"/>
      <c r="AA78" s="467"/>
      <c r="AB78" s="467"/>
      <c r="AC78" s="467"/>
      <c r="AD78" s="467"/>
      <c r="AE78" s="467"/>
    </row>
    <row r="79" spans="17:31">
      <c r="Q79" s="292"/>
      <c r="R79" s="496" t="s">
        <v>984</v>
      </c>
      <c r="S79" s="467"/>
      <c r="T79" s="467"/>
      <c r="U79" s="467"/>
      <c r="V79" s="467"/>
      <c r="W79" s="467"/>
      <c r="X79" s="467"/>
      <c r="Y79" s="467"/>
      <c r="Z79" s="467"/>
      <c r="AA79" s="467"/>
      <c r="AB79" s="467"/>
      <c r="AC79" s="467"/>
      <c r="AD79" s="467"/>
      <c r="AE79" s="467"/>
    </row>
    <row r="80" spans="17:31">
      <c r="Q80" s="292"/>
      <c r="R80" s="392" t="s">
        <v>992</v>
      </c>
      <c r="S80" s="392"/>
      <c r="T80" s="392"/>
      <c r="U80" s="392"/>
      <c r="V80" s="392"/>
      <c r="W80" s="467"/>
      <c r="X80" s="467"/>
      <c r="Y80" s="467"/>
      <c r="Z80" s="467"/>
      <c r="AA80" s="467"/>
      <c r="AB80" s="467"/>
      <c r="AC80" s="467"/>
      <c r="AD80" s="467"/>
      <c r="AE80" s="467"/>
    </row>
  </sheetData>
  <mergeCells count="20">
    <mergeCell ref="C22:N22"/>
    <mergeCell ref="C10:N10"/>
    <mergeCell ref="C11:N11"/>
    <mergeCell ref="C12:N12"/>
    <mergeCell ref="C13:N13"/>
    <mergeCell ref="C15:N15"/>
    <mergeCell ref="C50:N50"/>
    <mergeCell ref="C24:N24"/>
    <mergeCell ref="R6:Y6"/>
    <mergeCell ref="T11:AE11"/>
    <mergeCell ref="T12:AE12"/>
    <mergeCell ref="T14:AE14"/>
    <mergeCell ref="C23:N23"/>
    <mergeCell ref="R9:AB9"/>
    <mergeCell ref="T10:AE10"/>
    <mergeCell ref="C19:N19"/>
    <mergeCell ref="C16:N16"/>
    <mergeCell ref="C18:N18"/>
    <mergeCell ref="C20:N20"/>
    <mergeCell ref="C21:N21"/>
  </mergeCells>
  <dataValidations count="2">
    <dataValidation type="list" allowBlank="1" showInputMessage="1" showErrorMessage="1" sqref="P26:P27 P47 P10 P18" xr:uid="{00000000-0002-0000-1900-000000000000}">
      <formula1>choix</formula1>
    </dataValidation>
    <dataValidation type="list" allowBlank="1" showInputMessage="1" showErrorMessage="1" sqref="B44:B49 B19:B23 B11:B15 B28:B33 B36:B41 S37:S42 S10:S14 S30:S35 S16:S21 S23:S28" xr:uid="{00000000-0002-0000-1900-000001000000}">
      <formula1>Choix_capacité</formula1>
    </dataValidation>
  </dataValidations>
  <pageMargins left="0.7" right="0.7" top="0.75" bottom="0.75" header="0.3" footer="0.3"/>
  <pageSetup paperSize="9" scale="24" orientation="portrait" horizontalDpi="4294967293" verticalDpi="0"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7">
    <tabColor theme="4"/>
    <pageSetUpPr fitToPage="1"/>
  </sheetPr>
  <dimension ref="A1:AE81"/>
  <sheetViews>
    <sheetView topLeftCell="D33" zoomScale="80" zoomScaleNormal="80" workbookViewId="0">
      <selection activeCell="R2" sqref="R2:AC54"/>
    </sheetView>
  </sheetViews>
  <sheetFormatPr baseColWidth="10" defaultRowHeight="15"/>
  <cols>
    <col min="2" max="2" width="13.6640625" customWidth="1"/>
    <col min="3" max="3" width="17.6640625" customWidth="1"/>
    <col min="14" max="14" width="10.5" customWidth="1"/>
    <col min="15" max="16" width="13.5" bestFit="1" customWidth="1"/>
    <col min="18" max="18" width="9"/>
    <col min="19" max="19" width="18.33203125" customWidth="1"/>
  </cols>
  <sheetData>
    <row r="1" spans="1:31" ht="16" thickBot="1"/>
    <row r="2" spans="1:31" ht="19">
      <c r="R2" s="272" t="s">
        <v>112</v>
      </c>
      <c r="S2" s="228" t="s">
        <v>126</v>
      </c>
      <c r="T2" s="229" t="s">
        <v>48</v>
      </c>
      <c r="U2" s="671" t="s">
        <v>47</v>
      </c>
      <c r="V2" s="983"/>
    </row>
    <row r="3" spans="1:31" ht="16" thickBot="1">
      <c r="R3" s="983"/>
      <c r="S3" s="230" t="s">
        <v>55</v>
      </c>
      <c r="T3" s="231">
        <v>3</v>
      </c>
      <c r="U3" s="983"/>
      <c r="V3" s="983"/>
    </row>
    <row r="4" spans="1:31" ht="20" thickBot="1">
      <c r="B4" s="272" t="s">
        <v>112</v>
      </c>
      <c r="C4" s="228" t="s">
        <v>126</v>
      </c>
      <c r="D4" s="229" t="s">
        <v>48</v>
      </c>
      <c r="E4" s="227" t="s">
        <v>47</v>
      </c>
      <c r="G4" s="242"/>
      <c r="R4" s="983"/>
      <c r="S4" s="232" t="s">
        <v>62</v>
      </c>
      <c r="T4" s="986">
        <v>40</v>
      </c>
      <c r="U4" s="983"/>
      <c r="V4" s="983"/>
    </row>
    <row r="5" spans="1:31">
      <c r="C5" s="230" t="s">
        <v>55</v>
      </c>
      <c r="D5" s="231">
        <v>3</v>
      </c>
    </row>
    <row r="6" spans="1:31" ht="17" thickBot="1">
      <c r="C6" s="232" t="s">
        <v>62</v>
      </c>
      <c r="D6" s="261">
        <v>40</v>
      </c>
      <c r="Q6" s="690"/>
      <c r="R6" s="1042" t="s">
        <v>567</v>
      </c>
      <c r="S6" s="1042"/>
      <c r="T6" s="1042"/>
      <c r="U6" s="1042"/>
      <c r="V6" s="1042"/>
      <c r="W6" s="1042"/>
      <c r="X6" s="1042"/>
      <c r="Y6" s="1042"/>
      <c r="Z6" s="889"/>
      <c r="AA6" s="889"/>
      <c r="AB6" s="889"/>
      <c r="AC6" s="889"/>
      <c r="AD6" s="889"/>
      <c r="AE6" s="889"/>
    </row>
    <row r="7" spans="1:31" ht="16" thickBot="1">
      <c r="Q7" s="690"/>
      <c r="R7" s="680"/>
      <c r="S7" s="667"/>
      <c r="T7" s="667"/>
      <c r="U7" s="889"/>
      <c r="V7" s="889"/>
      <c r="W7" s="889"/>
      <c r="X7" s="889"/>
      <c r="Y7" s="889"/>
      <c r="Z7" s="889"/>
      <c r="AA7" s="889"/>
      <c r="AB7" s="889"/>
      <c r="AC7" s="889"/>
      <c r="AD7" s="889"/>
      <c r="AE7" s="889"/>
    </row>
    <row r="8" spans="1:31" ht="49" thickBot="1">
      <c r="O8" s="320" t="s">
        <v>125</v>
      </c>
      <c r="P8" s="320" t="s">
        <v>408</v>
      </c>
      <c r="Q8" s="690"/>
      <c r="R8" s="498" t="s">
        <v>529</v>
      </c>
      <c r="S8" s="667"/>
      <c r="T8" s="667"/>
      <c r="U8" s="889"/>
      <c r="V8" s="889"/>
      <c r="W8" s="889"/>
      <c r="X8" s="889"/>
      <c r="Y8" s="889"/>
      <c r="Z8" s="889"/>
      <c r="AA8" s="889"/>
      <c r="AB8" s="889"/>
      <c r="AC8" s="889"/>
      <c r="AD8" s="889"/>
      <c r="AE8" s="889"/>
    </row>
    <row r="9" spans="1:31">
      <c r="Q9" s="690"/>
      <c r="R9" s="1086" t="s">
        <v>1136</v>
      </c>
      <c r="S9" s="1086"/>
      <c r="T9" s="1086"/>
      <c r="U9" s="1086"/>
      <c r="V9" s="1086"/>
      <c r="W9" s="1086"/>
      <c r="X9" s="1086"/>
      <c r="Y9" s="1086"/>
      <c r="Z9" s="1086"/>
      <c r="AA9" s="1086"/>
      <c r="AB9" s="1086"/>
      <c r="AC9" s="468"/>
      <c r="AD9" s="889"/>
      <c r="AE9" s="889"/>
    </row>
    <row r="10" spans="1:31">
      <c r="A10" s="371" t="s">
        <v>1136</v>
      </c>
      <c r="B10" s="882"/>
      <c r="C10" s="881"/>
      <c r="D10" s="881"/>
      <c r="E10" s="881"/>
      <c r="F10" s="881"/>
      <c r="G10" s="881"/>
      <c r="H10" s="881"/>
      <c r="I10" s="881"/>
      <c r="J10" s="881"/>
      <c r="K10" s="881"/>
      <c r="L10" s="881"/>
      <c r="M10" s="881"/>
      <c r="N10" s="881"/>
      <c r="O10" s="881"/>
      <c r="P10" s="616"/>
      <c r="Q10" s="690"/>
      <c r="R10" s="1077" t="s">
        <v>500</v>
      </c>
      <c r="S10" s="1077"/>
      <c r="T10" s="1077"/>
      <c r="U10" s="1077"/>
      <c r="V10" s="1077"/>
      <c r="W10" s="1077"/>
      <c r="X10" s="1077"/>
      <c r="Y10" s="1077"/>
      <c r="Z10" s="1077"/>
      <c r="AA10" s="1077"/>
      <c r="AB10" s="1077"/>
      <c r="AC10" s="1077"/>
    </row>
    <row r="11" spans="1:31" ht="16" thickBot="1">
      <c r="A11" s="881"/>
      <c r="B11" s="881"/>
      <c r="C11" s="881"/>
      <c r="D11" s="881"/>
      <c r="E11" s="881"/>
      <c r="F11" s="881"/>
      <c r="G11" s="881"/>
      <c r="H11" s="881"/>
      <c r="I11" s="881"/>
      <c r="J11" s="881"/>
      <c r="K11" s="881"/>
      <c r="L11" s="881"/>
      <c r="M11" s="881"/>
      <c r="N11" s="881"/>
      <c r="O11" s="881"/>
      <c r="P11" s="616"/>
      <c r="Q11" s="690"/>
      <c r="R11" s="896"/>
      <c r="S11" s="671" t="s">
        <v>410</v>
      </c>
      <c r="T11" s="468" t="s">
        <v>1391</v>
      </c>
      <c r="U11" s="451"/>
      <c r="V11" s="451"/>
      <c r="W11" s="451"/>
      <c r="X11" s="451"/>
      <c r="Y11" s="451"/>
      <c r="Z11" s="451"/>
      <c r="AA11" s="451"/>
      <c r="AB11" s="451"/>
      <c r="AC11" s="451"/>
      <c r="AD11" s="451"/>
      <c r="AE11" s="451"/>
    </row>
    <row r="12" spans="1:31" ht="17" thickBot="1">
      <c r="A12" s="698" t="s">
        <v>127</v>
      </c>
      <c r="B12" s="672"/>
      <c r="C12" s="1038" t="s">
        <v>500</v>
      </c>
      <c r="D12" s="1039"/>
      <c r="E12" s="1039"/>
      <c r="F12" s="1039"/>
      <c r="G12" s="1039"/>
      <c r="H12" s="1039"/>
      <c r="I12" s="1039"/>
      <c r="J12" s="1039"/>
      <c r="K12" s="1039"/>
      <c r="L12" s="1039"/>
      <c r="M12" s="1039"/>
      <c r="N12" s="1040"/>
      <c r="O12" s="678">
        <v>3</v>
      </c>
      <c r="P12" s="453" t="s">
        <v>407</v>
      </c>
      <c r="Q12" s="690"/>
      <c r="R12" s="667"/>
      <c r="S12" s="671" t="s">
        <v>410</v>
      </c>
      <c r="T12" s="468" t="s">
        <v>1392</v>
      </c>
      <c r="U12" s="885"/>
      <c r="V12" s="885"/>
      <c r="W12" s="885"/>
      <c r="X12" s="885"/>
      <c r="Y12" s="885"/>
      <c r="Z12" s="885"/>
      <c r="AA12" s="885"/>
      <c r="AB12" s="885"/>
      <c r="AC12" s="885"/>
      <c r="AD12" s="885"/>
      <c r="AE12" s="885"/>
    </row>
    <row r="13" spans="1:31">
      <c r="A13" s="881"/>
      <c r="B13" s="882" t="s">
        <v>410</v>
      </c>
      <c r="C13" s="936" t="s">
        <v>1391</v>
      </c>
      <c r="D13" s="881"/>
      <c r="E13" s="881"/>
      <c r="F13" s="881"/>
      <c r="G13" s="881"/>
      <c r="H13" s="881"/>
      <c r="I13" s="881"/>
      <c r="J13" s="881"/>
      <c r="K13" s="881"/>
      <c r="L13" s="881"/>
      <c r="M13" s="881"/>
      <c r="N13" s="881"/>
      <c r="O13" s="670"/>
      <c r="P13" s="616"/>
      <c r="Q13" s="690"/>
      <c r="R13" s="667"/>
      <c r="S13" s="671" t="s">
        <v>410</v>
      </c>
      <c r="T13" s="468" t="s">
        <v>1393</v>
      </c>
      <c r="U13" s="885"/>
      <c r="V13" s="885"/>
      <c r="W13" s="885"/>
      <c r="X13" s="885"/>
      <c r="Y13" s="885"/>
      <c r="Z13" s="885"/>
      <c r="AA13" s="885"/>
      <c r="AB13" s="885"/>
      <c r="AC13" s="885"/>
      <c r="AD13" s="885"/>
      <c r="AE13" s="885"/>
    </row>
    <row r="14" spans="1:31">
      <c r="A14" s="881"/>
      <c r="B14" s="882" t="s">
        <v>410</v>
      </c>
      <c r="C14" s="936" t="s">
        <v>1392</v>
      </c>
      <c r="D14" s="881"/>
      <c r="E14" s="881"/>
      <c r="F14" s="881"/>
      <c r="G14" s="881"/>
      <c r="H14" s="881"/>
      <c r="I14" s="881"/>
      <c r="J14" s="881"/>
      <c r="K14" s="881"/>
      <c r="L14" s="881"/>
      <c r="M14" s="881"/>
      <c r="N14" s="881"/>
      <c r="O14" s="670"/>
      <c r="P14" s="881"/>
      <c r="Q14" s="690"/>
      <c r="R14" s="667"/>
      <c r="S14" s="671" t="s">
        <v>411</v>
      </c>
      <c r="T14" s="468" t="s">
        <v>1394</v>
      </c>
      <c r="U14" s="667"/>
      <c r="V14" s="667"/>
      <c r="W14" s="667"/>
      <c r="X14" s="667"/>
      <c r="Y14" s="667"/>
      <c r="Z14" s="667"/>
      <c r="AA14" s="667"/>
      <c r="AB14" s="667"/>
      <c r="AC14" s="667"/>
      <c r="AD14" s="680"/>
      <c r="AE14" s="680"/>
    </row>
    <row r="15" spans="1:31">
      <c r="A15" s="881"/>
      <c r="B15" s="882" t="s">
        <v>410</v>
      </c>
      <c r="C15" s="936" t="s">
        <v>1393</v>
      </c>
      <c r="D15" s="881"/>
      <c r="E15" s="881"/>
      <c r="F15" s="881"/>
      <c r="G15" s="881"/>
      <c r="H15" s="881"/>
      <c r="I15" s="881"/>
      <c r="J15" s="881"/>
      <c r="K15" s="881"/>
      <c r="L15" s="881"/>
      <c r="M15" s="881"/>
      <c r="N15" s="881"/>
      <c r="O15" s="881"/>
      <c r="P15" s="881"/>
      <c r="Q15" s="690"/>
      <c r="R15" s="667"/>
      <c r="S15" s="671" t="s">
        <v>411</v>
      </c>
      <c r="T15" s="468" t="s">
        <v>1395</v>
      </c>
      <c r="U15" s="885"/>
      <c r="V15" s="885"/>
      <c r="W15" s="885"/>
      <c r="X15" s="885"/>
      <c r="Y15" s="885"/>
      <c r="Z15" s="885"/>
      <c r="AA15" s="885"/>
      <c r="AB15" s="885"/>
      <c r="AC15" s="885"/>
      <c r="AD15" s="885"/>
      <c r="AE15" s="885"/>
    </row>
    <row r="16" spans="1:31">
      <c r="A16" s="881"/>
      <c r="B16" s="882" t="s">
        <v>411</v>
      </c>
      <c r="C16" s="889" t="s">
        <v>1394</v>
      </c>
      <c r="D16" s="881"/>
      <c r="E16" s="881"/>
      <c r="F16" s="881"/>
      <c r="G16" s="881"/>
      <c r="H16" s="881"/>
      <c r="I16" s="881"/>
      <c r="J16" s="881"/>
      <c r="K16" s="881"/>
      <c r="L16" s="881"/>
      <c r="M16" s="881"/>
      <c r="N16" s="881"/>
      <c r="O16" s="881"/>
      <c r="P16" s="881"/>
      <c r="Q16" s="690"/>
      <c r="R16" s="468"/>
      <c r="S16" s="671" t="s">
        <v>411</v>
      </c>
      <c r="T16" s="468" t="s">
        <v>1396</v>
      </c>
      <c r="U16" s="468"/>
      <c r="V16" s="468"/>
      <c r="W16" s="468"/>
      <c r="X16" s="468"/>
      <c r="Y16" s="468"/>
      <c r="Z16" s="468"/>
      <c r="AA16" s="468"/>
      <c r="AB16" s="890"/>
      <c r="AC16" s="890"/>
      <c r="AD16" s="680"/>
      <c r="AE16" s="680"/>
    </row>
    <row r="17" spans="1:31">
      <c r="A17" s="881"/>
      <c r="B17" s="882" t="s">
        <v>411</v>
      </c>
      <c r="C17" s="889" t="s">
        <v>1395</v>
      </c>
      <c r="D17" s="881"/>
      <c r="E17" s="881"/>
      <c r="F17" s="881"/>
      <c r="G17" s="881"/>
      <c r="H17" s="881"/>
      <c r="I17" s="881"/>
      <c r="J17" s="881"/>
      <c r="K17" s="881"/>
      <c r="L17" s="881"/>
      <c r="M17" s="881"/>
      <c r="N17" s="881"/>
      <c r="O17" s="881"/>
      <c r="P17" s="881"/>
      <c r="Q17" s="690"/>
      <c r="R17" s="890" t="s">
        <v>504</v>
      </c>
      <c r="S17" s="890"/>
      <c r="T17" s="890"/>
      <c r="U17" s="890"/>
      <c r="V17" s="890"/>
      <c r="W17" s="890"/>
      <c r="X17" s="890"/>
      <c r="Y17" s="890"/>
      <c r="Z17" s="890"/>
      <c r="AA17" s="890"/>
      <c r="AB17" s="885"/>
      <c r="AC17" s="885"/>
      <c r="AD17" s="885"/>
      <c r="AE17" s="885"/>
    </row>
    <row r="18" spans="1:31">
      <c r="A18" s="881"/>
      <c r="B18" s="882" t="s">
        <v>411</v>
      </c>
      <c r="C18" s="889" t="s">
        <v>1396</v>
      </c>
      <c r="D18" s="881"/>
      <c r="E18" s="881"/>
      <c r="F18" s="881"/>
      <c r="G18" s="881"/>
      <c r="H18" s="881"/>
      <c r="I18" s="881"/>
      <c r="J18" s="881"/>
      <c r="K18" s="881"/>
      <c r="L18" s="881"/>
      <c r="M18" s="881"/>
      <c r="N18" s="881"/>
      <c r="O18" s="881"/>
      <c r="P18" s="881"/>
      <c r="Q18" s="690"/>
      <c r="R18" s="667"/>
      <c r="S18" s="671" t="s">
        <v>410</v>
      </c>
      <c r="T18" s="897" t="s">
        <v>1398</v>
      </c>
      <c r="U18" s="885"/>
      <c r="V18" s="885"/>
      <c r="W18" s="885"/>
      <c r="X18" s="885"/>
      <c r="Y18" s="885"/>
      <c r="Z18" s="885"/>
      <c r="AA18" s="885"/>
      <c r="AB18" s="885"/>
      <c r="AC18" s="885"/>
      <c r="AD18" s="885"/>
      <c r="AE18" s="885"/>
    </row>
    <row r="19" spans="1:31">
      <c r="A19" s="881"/>
      <c r="B19" s="882" t="s">
        <v>130</v>
      </c>
      <c r="C19" s="886" t="s">
        <v>1397</v>
      </c>
      <c r="D19" s="881"/>
      <c r="E19" s="881"/>
      <c r="F19" s="881"/>
      <c r="G19" s="881"/>
      <c r="H19" s="881"/>
      <c r="I19" s="881"/>
      <c r="J19" s="881"/>
      <c r="K19" s="881"/>
      <c r="L19" s="881"/>
      <c r="M19" s="881"/>
      <c r="N19" s="881"/>
      <c r="O19" s="881"/>
      <c r="P19" s="881"/>
      <c r="Q19" s="690"/>
      <c r="R19" s="667"/>
      <c r="S19" s="671" t="s">
        <v>410</v>
      </c>
      <c r="T19" s="897" t="s">
        <v>1399</v>
      </c>
      <c r="U19" s="885"/>
      <c r="V19" s="885"/>
      <c r="W19" s="885"/>
      <c r="X19" s="885"/>
      <c r="Y19" s="885"/>
      <c r="Z19" s="885"/>
      <c r="AA19" s="885"/>
      <c r="AB19" s="885"/>
      <c r="AC19" s="885"/>
      <c r="AD19" s="885"/>
      <c r="AE19" s="885"/>
    </row>
    <row r="20" spans="1:31" ht="16" thickBot="1">
      <c r="A20" s="881"/>
      <c r="B20" s="881"/>
      <c r="C20" s="881"/>
      <c r="D20" s="881"/>
      <c r="E20" s="881"/>
      <c r="F20" s="881"/>
      <c r="G20" s="881"/>
      <c r="H20" s="881"/>
      <c r="I20" s="881"/>
      <c r="J20" s="881"/>
      <c r="K20" s="881"/>
      <c r="L20" s="881"/>
      <c r="M20" s="881"/>
      <c r="N20" s="881"/>
      <c r="O20" s="881"/>
      <c r="P20" s="881"/>
      <c r="Q20" s="690"/>
      <c r="R20" s="401"/>
      <c r="S20" s="671" t="s">
        <v>410</v>
      </c>
      <c r="T20" s="574" t="s">
        <v>1400</v>
      </c>
      <c r="U20" s="885"/>
      <c r="V20" s="885"/>
      <c r="W20" s="885"/>
      <c r="X20" s="885"/>
      <c r="Y20" s="885"/>
      <c r="Z20" s="885"/>
      <c r="AA20" s="885"/>
      <c r="AB20" s="885"/>
      <c r="AC20" s="885"/>
      <c r="AD20" s="885"/>
      <c r="AE20" s="885"/>
    </row>
    <row r="21" spans="1:31" ht="17" thickBot="1">
      <c r="A21" s="698" t="s">
        <v>128</v>
      </c>
      <c r="B21" s="672"/>
      <c r="C21" s="1038" t="s">
        <v>504</v>
      </c>
      <c r="D21" s="1039"/>
      <c r="E21" s="1039"/>
      <c r="F21" s="1039"/>
      <c r="G21" s="1039"/>
      <c r="H21" s="1039"/>
      <c r="I21" s="1039"/>
      <c r="J21" s="1039"/>
      <c r="K21" s="1039"/>
      <c r="L21" s="1039"/>
      <c r="M21" s="1039"/>
      <c r="N21" s="1039"/>
      <c r="O21" s="453">
        <v>3</v>
      </c>
      <c r="P21" s="625" t="s">
        <v>407</v>
      </c>
      <c r="Q21" s="690"/>
      <c r="R21" s="896"/>
      <c r="S21" s="671" t="s">
        <v>411</v>
      </c>
      <c r="T21" s="574" t="s">
        <v>1401</v>
      </c>
      <c r="U21" s="885"/>
      <c r="V21" s="885"/>
      <c r="W21" s="885"/>
      <c r="X21" s="885"/>
      <c r="Y21" s="885"/>
      <c r="Z21" s="885"/>
      <c r="AA21" s="885"/>
      <c r="AB21" s="885"/>
      <c r="AC21" s="885"/>
      <c r="AD21" s="885"/>
      <c r="AE21" s="885"/>
    </row>
    <row r="22" spans="1:31">
      <c r="A22" s="881"/>
      <c r="B22" s="882" t="s">
        <v>410</v>
      </c>
      <c r="C22" s="895" t="s">
        <v>1398</v>
      </c>
      <c r="D22" s="881"/>
      <c r="E22" s="881"/>
      <c r="F22" s="881"/>
      <c r="G22" s="881"/>
      <c r="H22" s="881"/>
      <c r="I22" s="881"/>
      <c r="J22" s="881"/>
      <c r="K22" s="881"/>
      <c r="L22" s="881"/>
      <c r="M22" s="881"/>
      <c r="N22" s="881"/>
      <c r="O22" s="616"/>
      <c r="P22" s="616"/>
      <c r="Q22" s="690"/>
      <c r="R22" s="500" t="s">
        <v>1390</v>
      </c>
      <c r="S22" s="527"/>
      <c r="T22" s="434"/>
      <c r="U22" s="434"/>
      <c r="V22" s="434"/>
      <c r="W22" s="885"/>
      <c r="X22" s="885"/>
      <c r="Y22" s="885"/>
      <c r="Z22" s="885"/>
      <c r="AA22" s="885"/>
      <c r="AB22" s="667"/>
      <c r="AC22" s="885"/>
      <c r="AD22" s="885"/>
      <c r="AE22" s="885"/>
    </row>
    <row r="23" spans="1:31">
      <c r="A23" s="881"/>
      <c r="B23" s="882" t="s">
        <v>410</v>
      </c>
      <c r="C23" s="895" t="s">
        <v>1399</v>
      </c>
      <c r="D23" s="881"/>
      <c r="E23" s="881"/>
      <c r="F23" s="881"/>
      <c r="G23" s="881"/>
      <c r="H23" s="881"/>
      <c r="I23" s="881"/>
      <c r="J23" s="881"/>
      <c r="K23" s="881"/>
      <c r="L23" s="881"/>
      <c r="M23" s="881"/>
      <c r="N23" s="881"/>
      <c r="O23" s="616"/>
      <c r="P23" s="616"/>
      <c r="Q23" s="690"/>
      <c r="R23" s="422" t="s">
        <v>124</v>
      </c>
      <c r="S23" s="667"/>
      <c r="T23" s="500"/>
      <c r="U23" s="500"/>
      <c r="V23" s="500"/>
      <c r="W23" s="468"/>
      <c r="X23" s="468"/>
      <c r="Y23" s="468"/>
      <c r="Z23" s="468"/>
      <c r="AA23" s="468"/>
      <c r="AB23" s="500"/>
      <c r="AC23" s="468"/>
      <c r="AD23" s="889"/>
      <c r="AE23" s="889"/>
    </row>
    <row r="24" spans="1:31">
      <c r="A24" s="881"/>
      <c r="B24" s="882" t="s">
        <v>410</v>
      </c>
      <c r="C24" s="936" t="s">
        <v>1400</v>
      </c>
      <c r="D24" s="881"/>
      <c r="E24" s="881"/>
      <c r="F24" s="881"/>
      <c r="G24" s="881"/>
      <c r="H24" s="881"/>
      <c r="I24" s="881"/>
      <c r="J24" s="881"/>
      <c r="K24" s="881"/>
      <c r="L24" s="881"/>
      <c r="M24" s="881"/>
      <c r="N24" s="881"/>
      <c r="O24" s="616"/>
      <c r="P24" s="616"/>
      <c r="Q24" s="690"/>
      <c r="R24" s="667"/>
      <c r="S24" s="671" t="s">
        <v>410</v>
      </c>
      <c r="T24" s="897" t="s">
        <v>1403</v>
      </c>
      <c r="U24" s="885"/>
      <c r="V24" s="885"/>
      <c r="W24" s="667"/>
      <c r="X24" s="667"/>
      <c r="Y24" s="667"/>
      <c r="Z24" s="667"/>
      <c r="AA24" s="667"/>
      <c r="AB24" s="885"/>
      <c r="AC24" s="667"/>
      <c r="AD24" s="680"/>
      <c r="AE24" s="680"/>
    </row>
    <row r="25" spans="1:31">
      <c r="A25" s="881"/>
      <c r="B25" s="882" t="s">
        <v>411</v>
      </c>
      <c r="C25" s="889" t="s">
        <v>1401</v>
      </c>
      <c r="D25" s="881"/>
      <c r="E25" s="881"/>
      <c r="F25" s="881"/>
      <c r="G25" s="881"/>
      <c r="H25" s="881"/>
      <c r="I25" s="881"/>
      <c r="J25" s="881"/>
      <c r="K25" s="881"/>
      <c r="L25" s="881"/>
      <c r="M25" s="881"/>
      <c r="N25" s="881"/>
      <c r="O25" s="616"/>
      <c r="P25" s="616"/>
      <c r="Q25" s="690"/>
      <c r="R25" s="667"/>
      <c r="S25" s="671" t="s">
        <v>410</v>
      </c>
      <c r="T25" s="897" t="s">
        <v>1404</v>
      </c>
      <c r="U25" s="885"/>
      <c r="V25" s="885"/>
      <c r="W25" s="500"/>
      <c r="X25" s="500"/>
      <c r="Y25" s="500"/>
      <c r="Z25" s="500"/>
      <c r="AA25" s="500"/>
      <c r="AB25" s="885"/>
      <c r="AC25" s="500"/>
      <c r="AD25" s="500"/>
      <c r="AE25" s="500"/>
    </row>
    <row r="26" spans="1:31">
      <c r="A26" s="881"/>
      <c r="B26" s="882" t="s">
        <v>411</v>
      </c>
      <c r="C26" s="889"/>
      <c r="D26" s="881"/>
      <c r="E26" s="881"/>
      <c r="F26" s="881"/>
      <c r="G26" s="881"/>
      <c r="H26" s="881"/>
      <c r="I26" s="881"/>
      <c r="J26" s="881"/>
      <c r="K26" s="881"/>
      <c r="L26" s="881"/>
      <c r="M26" s="881"/>
      <c r="N26" s="881"/>
      <c r="O26" s="616"/>
      <c r="P26" s="616"/>
      <c r="Q26" s="690"/>
      <c r="R26" s="667"/>
      <c r="S26" s="671" t="s">
        <v>411</v>
      </c>
      <c r="T26" s="574" t="s">
        <v>1405</v>
      </c>
      <c r="U26" s="885"/>
      <c r="V26" s="885"/>
      <c r="W26" s="885"/>
      <c r="X26" s="885"/>
      <c r="Y26" s="885"/>
      <c r="Z26" s="885"/>
      <c r="AA26" s="885"/>
      <c r="AB26" s="885"/>
      <c r="AC26" s="885"/>
      <c r="AD26" s="885"/>
      <c r="AE26" s="885"/>
    </row>
    <row r="27" spans="1:31">
      <c r="A27" s="881"/>
      <c r="B27" s="882" t="s">
        <v>411</v>
      </c>
      <c r="C27" s="889"/>
      <c r="D27" s="881"/>
      <c r="E27" s="881"/>
      <c r="F27" s="881"/>
      <c r="G27" s="881"/>
      <c r="H27" s="881"/>
      <c r="I27" s="881"/>
      <c r="J27" s="881"/>
      <c r="K27" s="881"/>
      <c r="L27" s="881"/>
      <c r="M27" s="881"/>
      <c r="N27" s="881"/>
      <c r="O27" s="616"/>
      <c r="P27" s="616"/>
      <c r="Q27" s="690"/>
      <c r="R27" s="667"/>
      <c r="S27" s="671" t="s">
        <v>411</v>
      </c>
      <c r="T27" s="468" t="s">
        <v>1406</v>
      </c>
      <c r="U27" s="885"/>
      <c r="V27" s="885"/>
      <c r="W27" s="885"/>
      <c r="X27" s="885"/>
      <c r="Y27" s="885"/>
      <c r="Z27" s="885"/>
      <c r="AA27" s="885"/>
      <c r="AB27" s="885"/>
      <c r="AC27" s="885"/>
      <c r="AD27" s="885"/>
      <c r="AE27" s="885"/>
    </row>
    <row r="28" spans="1:31">
      <c r="A28" s="881"/>
      <c r="B28" s="882" t="s">
        <v>130</v>
      </c>
      <c r="C28" s="886" t="s">
        <v>1402</v>
      </c>
      <c r="D28" s="881"/>
      <c r="E28" s="881"/>
      <c r="F28" s="881"/>
      <c r="G28" s="881"/>
      <c r="H28" s="881"/>
      <c r="I28" s="881"/>
      <c r="J28" s="881"/>
      <c r="K28" s="881"/>
      <c r="L28" s="881"/>
      <c r="M28" s="881"/>
      <c r="N28" s="881"/>
      <c r="O28" s="616"/>
      <c r="P28" s="616"/>
      <c r="Q28" s="690"/>
      <c r="R28" s="422" t="s">
        <v>478</v>
      </c>
      <c r="S28" s="667"/>
      <c r="T28" s="500"/>
      <c r="U28" s="500"/>
      <c r="V28" s="468"/>
      <c r="W28" s="885"/>
      <c r="X28" s="885"/>
      <c r="Y28" s="885"/>
      <c r="Z28" s="885"/>
      <c r="AA28" s="885"/>
      <c r="AB28" s="667"/>
      <c r="AC28" s="885"/>
      <c r="AD28" s="885"/>
      <c r="AE28" s="885"/>
    </row>
    <row r="29" spans="1:31">
      <c r="A29" s="881"/>
      <c r="B29" s="881"/>
      <c r="C29" s="881"/>
      <c r="D29" s="881"/>
      <c r="E29" s="881"/>
      <c r="F29" s="881"/>
      <c r="G29" s="881"/>
      <c r="H29" s="881"/>
      <c r="I29" s="881"/>
      <c r="J29" s="881"/>
      <c r="K29" s="881"/>
      <c r="L29" s="881"/>
      <c r="M29" s="881"/>
      <c r="N29" s="881"/>
      <c r="O29" s="670"/>
      <c r="P29" s="881"/>
      <c r="Q29" s="690"/>
      <c r="R29" s="667"/>
      <c r="S29" s="671" t="s">
        <v>410</v>
      </c>
      <c r="T29" s="468" t="s">
        <v>1408</v>
      </c>
      <c r="U29" s="885"/>
      <c r="V29" s="468"/>
      <c r="W29" s="885"/>
      <c r="X29" s="885"/>
      <c r="Y29" s="885"/>
      <c r="Z29" s="885"/>
      <c r="AA29" s="885"/>
      <c r="AB29" s="500"/>
      <c r="AC29" s="885"/>
      <c r="AD29" s="885"/>
      <c r="AE29" s="885"/>
    </row>
    <row r="30" spans="1:31">
      <c r="A30" s="371" t="s">
        <v>1390</v>
      </c>
      <c r="B30" s="881"/>
      <c r="C30" s="881"/>
      <c r="D30" s="881"/>
      <c r="E30" s="881"/>
      <c r="F30" s="881"/>
      <c r="G30" s="881"/>
      <c r="H30" s="881"/>
      <c r="I30" s="881"/>
      <c r="J30" s="881"/>
      <c r="K30" s="881"/>
      <c r="L30" s="881"/>
      <c r="M30" s="881"/>
      <c r="N30" s="881"/>
      <c r="O30" s="881"/>
      <c r="P30" s="881"/>
      <c r="Q30" s="690"/>
      <c r="R30" s="667"/>
      <c r="S30" s="671" t="s">
        <v>410</v>
      </c>
      <c r="T30" s="468" t="s">
        <v>1409</v>
      </c>
      <c r="U30" s="885"/>
      <c r="V30" s="667"/>
      <c r="W30" s="667"/>
      <c r="X30" s="667"/>
      <c r="Y30" s="667"/>
      <c r="Z30" s="667"/>
      <c r="AA30" s="667"/>
      <c r="AB30" s="885"/>
      <c r="AC30" s="885"/>
      <c r="AD30" s="885"/>
      <c r="AE30" s="885"/>
    </row>
    <row r="31" spans="1:31" ht="16" thickBot="1">
      <c r="Q31" s="690"/>
      <c r="R31" s="667"/>
      <c r="S31" s="671" t="s">
        <v>410</v>
      </c>
      <c r="T31" s="468" t="s">
        <v>1410</v>
      </c>
      <c r="U31" s="885"/>
      <c r="V31" s="500"/>
      <c r="W31" s="500"/>
      <c r="X31" s="500"/>
      <c r="Y31" s="500"/>
      <c r="Z31" s="500"/>
      <c r="AA31" s="500"/>
      <c r="AB31" s="885"/>
      <c r="AC31" s="667"/>
      <c r="AD31" s="885"/>
      <c r="AE31" s="885"/>
    </row>
    <row r="32" spans="1:31" ht="17" thickBot="1">
      <c r="A32" s="698" t="s">
        <v>127</v>
      </c>
      <c r="B32" s="672"/>
      <c r="C32" s="878" t="s">
        <v>124</v>
      </c>
      <c r="D32" s="879"/>
      <c r="E32" s="879"/>
      <c r="F32" s="879"/>
      <c r="G32" s="879"/>
      <c r="H32" s="879"/>
      <c r="I32" s="879"/>
      <c r="J32" s="879"/>
      <c r="K32" s="880"/>
      <c r="L32" s="676"/>
      <c r="M32" s="676"/>
      <c r="N32" s="677"/>
      <c r="O32" s="678"/>
      <c r="P32" s="697" t="s">
        <v>409</v>
      </c>
      <c r="Q32" s="690"/>
      <c r="R32" s="667"/>
      <c r="S32" s="671" t="s">
        <v>411</v>
      </c>
      <c r="T32" s="468" t="s">
        <v>1396</v>
      </c>
      <c r="U32" s="885"/>
      <c r="V32" s="885"/>
      <c r="W32" s="885"/>
      <c r="X32" s="885"/>
      <c r="Y32" s="885"/>
      <c r="Z32" s="885"/>
      <c r="AA32" s="885"/>
      <c r="AB32" s="885"/>
      <c r="AC32" s="500"/>
      <c r="AD32" s="680"/>
      <c r="AE32" s="680"/>
    </row>
    <row r="33" spans="1:31">
      <c r="A33" s="881"/>
      <c r="B33" s="882" t="s">
        <v>410</v>
      </c>
      <c r="C33" s="895" t="s">
        <v>1403</v>
      </c>
      <c r="D33" s="881"/>
      <c r="E33" s="881"/>
      <c r="F33" s="881"/>
      <c r="G33" s="881"/>
      <c r="H33" s="881"/>
      <c r="I33" s="881"/>
      <c r="J33" s="881"/>
      <c r="K33" s="881"/>
      <c r="L33" s="881"/>
      <c r="M33" s="881"/>
      <c r="N33" s="881"/>
      <c r="O33" s="670"/>
      <c r="P33" s="881"/>
      <c r="Q33" s="690"/>
      <c r="R33" s="667"/>
      <c r="S33" s="671" t="s">
        <v>411</v>
      </c>
      <c r="T33" s="468" t="s">
        <v>1411</v>
      </c>
      <c r="U33" s="885"/>
      <c r="V33" s="885"/>
      <c r="W33" s="885"/>
      <c r="X33" s="885"/>
      <c r="Y33" s="885"/>
      <c r="Z33" s="885"/>
      <c r="AA33" s="885"/>
      <c r="AB33" s="885"/>
      <c r="AC33" s="885"/>
      <c r="AD33" s="500"/>
      <c r="AE33" s="500"/>
    </row>
    <row r="34" spans="1:31">
      <c r="A34" s="881"/>
      <c r="B34" s="882" t="s">
        <v>410</v>
      </c>
      <c r="C34" s="895" t="s">
        <v>1404</v>
      </c>
      <c r="D34" s="881"/>
      <c r="E34" s="881"/>
      <c r="F34" s="881"/>
      <c r="G34" s="881"/>
      <c r="H34" s="881"/>
      <c r="I34" s="881"/>
      <c r="J34" s="881"/>
      <c r="K34" s="881"/>
      <c r="L34" s="881"/>
      <c r="M34" s="881"/>
      <c r="N34" s="881"/>
      <c r="O34" s="670"/>
      <c r="P34" s="881"/>
      <c r="Q34" s="690"/>
      <c r="R34" s="422" t="s">
        <v>479</v>
      </c>
      <c r="S34" s="205"/>
      <c r="T34" s="500"/>
      <c r="U34" s="468"/>
      <c r="V34" s="885"/>
      <c r="W34" s="885"/>
      <c r="X34" s="885"/>
      <c r="Y34" s="885"/>
      <c r="Z34" s="885"/>
      <c r="AA34" s="885"/>
      <c r="AB34" s="885"/>
      <c r="AC34" s="885"/>
      <c r="AD34" s="885"/>
      <c r="AE34" s="885"/>
    </row>
    <row r="35" spans="1:31">
      <c r="A35" s="881"/>
      <c r="B35" s="882" t="s">
        <v>410</v>
      </c>
      <c r="C35" s="889"/>
      <c r="D35" s="881"/>
      <c r="E35" s="881"/>
      <c r="F35" s="881"/>
      <c r="G35" s="881"/>
      <c r="H35" s="881"/>
      <c r="I35" s="881"/>
      <c r="J35" s="881"/>
      <c r="K35" s="881"/>
      <c r="L35" s="881"/>
      <c r="M35" s="881"/>
      <c r="N35" s="881"/>
      <c r="O35" s="670"/>
      <c r="P35" s="881"/>
      <c r="Q35" s="690"/>
      <c r="R35" s="205"/>
      <c r="S35" s="887" t="s">
        <v>410</v>
      </c>
      <c r="T35" s="468" t="s">
        <v>1413</v>
      </c>
      <c r="U35" s="468"/>
      <c r="V35" s="885"/>
      <c r="W35" s="885"/>
      <c r="X35" s="885"/>
      <c r="Y35" s="885"/>
      <c r="Z35" s="885"/>
      <c r="AA35" s="885"/>
      <c r="AB35" s="892"/>
      <c r="AC35" s="885"/>
      <c r="AD35" s="885"/>
      <c r="AE35" s="885"/>
    </row>
    <row r="36" spans="1:31">
      <c r="A36" s="881"/>
      <c r="B36" s="882" t="s">
        <v>411</v>
      </c>
      <c r="C36" s="889" t="s">
        <v>1405</v>
      </c>
      <c r="D36" s="881"/>
      <c r="E36" s="881"/>
      <c r="F36" s="881"/>
      <c r="G36" s="881"/>
      <c r="H36" s="881"/>
      <c r="I36" s="881"/>
      <c r="J36" s="881"/>
      <c r="K36" s="881"/>
      <c r="L36" s="881"/>
      <c r="M36" s="881"/>
      <c r="N36" s="881"/>
      <c r="O36" s="670"/>
      <c r="P36" s="881"/>
      <c r="Q36" s="690"/>
      <c r="R36" s="205"/>
      <c r="S36" s="887" t="s">
        <v>410</v>
      </c>
      <c r="T36" s="468" t="s">
        <v>1414</v>
      </c>
      <c r="U36" s="468"/>
      <c r="V36" s="885"/>
      <c r="W36" s="885"/>
      <c r="X36" s="885"/>
      <c r="Y36" s="885"/>
      <c r="Z36" s="885"/>
      <c r="AA36" s="885"/>
      <c r="AB36" s="500"/>
      <c r="AC36" s="885"/>
      <c r="AD36" s="885"/>
      <c r="AE36" s="885"/>
    </row>
    <row r="37" spans="1:31">
      <c r="A37" s="881"/>
      <c r="B37" s="882" t="s">
        <v>411</v>
      </c>
      <c r="C37" s="889" t="s">
        <v>1406</v>
      </c>
      <c r="D37" s="881"/>
      <c r="E37" s="881"/>
      <c r="F37" s="881"/>
      <c r="G37" s="881"/>
      <c r="H37" s="881"/>
      <c r="I37" s="881"/>
      <c r="J37" s="881"/>
      <c r="K37" s="881"/>
      <c r="L37" s="881"/>
      <c r="M37" s="881"/>
      <c r="N37" s="881"/>
      <c r="O37" s="670"/>
      <c r="P37" s="881"/>
      <c r="Q37" s="690"/>
      <c r="R37" s="205"/>
      <c r="S37" s="887" t="s">
        <v>410</v>
      </c>
      <c r="T37" s="468" t="s">
        <v>1415</v>
      </c>
      <c r="U37" s="892"/>
      <c r="V37" s="892"/>
      <c r="W37" s="892"/>
      <c r="X37" s="892"/>
      <c r="Y37" s="892"/>
      <c r="Z37" s="892"/>
      <c r="AA37" s="892"/>
      <c r="AB37" s="434"/>
      <c r="AC37" s="885"/>
      <c r="AD37" s="885"/>
      <c r="AE37" s="885"/>
    </row>
    <row r="38" spans="1:31">
      <c r="A38" s="881"/>
      <c r="B38" s="882" t="s">
        <v>411</v>
      </c>
      <c r="C38" s="889"/>
      <c r="D38" s="881"/>
      <c r="E38" s="881"/>
      <c r="F38" s="881"/>
      <c r="G38" s="881"/>
      <c r="H38" s="881"/>
      <c r="I38" s="881"/>
      <c r="J38" s="881"/>
      <c r="K38" s="881"/>
      <c r="L38" s="881"/>
      <c r="M38" s="881"/>
      <c r="N38" s="881"/>
      <c r="O38" s="670"/>
      <c r="P38" s="881"/>
      <c r="Q38" s="690"/>
      <c r="R38" s="205"/>
      <c r="S38" s="887" t="s">
        <v>411</v>
      </c>
      <c r="T38" s="468" t="s">
        <v>1416</v>
      </c>
      <c r="U38" s="500"/>
      <c r="V38" s="500"/>
      <c r="W38" s="500"/>
      <c r="X38" s="500"/>
      <c r="Y38" s="500"/>
      <c r="Z38" s="500"/>
      <c r="AA38" s="500"/>
      <c r="AB38" s="891"/>
      <c r="AC38" s="885"/>
      <c r="AD38" s="885"/>
      <c r="AE38" s="885"/>
    </row>
    <row r="39" spans="1:31">
      <c r="A39" s="881"/>
      <c r="B39" s="882" t="s">
        <v>130</v>
      </c>
      <c r="C39" s="886" t="s">
        <v>1407</v>
      </c>
      <c r="D39" s="881"/>
      <c r="E39" s="881"/>
      <c r="F39" s="881"/>
      <c r="G39" s="881"/>
      <c r="H39" s="881"/>
      <c r="I39" s="881"/>
      <c r="J39" s="881"/>
      <c r="K39" s="881"/>
      <c r="L39" s="881"/>
      <c r="M39" s="881"/>
      <c r="N39" s="881"/>
      <c r="O39" s="670"/>
      <c r="P39" s="881"/>
      <c r="Q39" s="690"/>
      <c r="R39" s="205"/>
      <c r="S39" s="887" t="s">
        <v>411</v>
      </c>
      <c r="T39" s="468" t="s">
        <v>1394</v>
      </c>
      <c r="U39" s="434"/>
      <c r="V39" s="434"/>
      <c r="W39" s="434"/>
      <c r="X39" s="434"/>
      <c r="Y39" s="434"/>
      <c r="Z39" s="434"/>
      <c r="AA39" s="434"/>
      <c r="AB39" s="468"/>
      <c r="AC39" s="892"/>
      <c r="AD39" s="885"/>
      <c r="AE39" s="885"/>
    </row>
    <row r="40" spans="1:31" ht="16" thickBot="1">
      <c r="A40" s="881"/>
      <c r="B40" s="881"/>
      <c r="C40" s="881"/>
      <c r="D40" s="881"/>
      <c r="E40" s="881"/>
      <c r="F40" s="881"/>
      <c r="G40" s="881"/>
      <c r="H40" s="881"/>
      <c r="I40" s="881"/>
      <c r="J40" s="881"/>
      <c r="K40" s="881"/>
      <c r="L40" s="881"/>
      <c r="M40" s="881"/>
      <c r="N40" s="881"/>
      <c r="O40" s="670"/>
      <c r="P40" s="881"/>
      <c r="Q40" s="690"/>
      <c r="R40" s="205"/>
      <c r="S40" s="887" t="s">
        <v>411</v>
      </c>
      <c r="T40" s="468" t="s">
        <v>1395</v>
      </c>
      <c r="U40" s="891"/>
      <c r="V40" s="891"/>
      <c r="W40" s="891"/>
      <c r="X40" s="891"/>
      <c r="Y40" s="891"/>
      <c r="Z40" s="891"/>
      <c r="AA40" s="891"/>
      <c r="AB40" s="468"/>
      <c r="AC40" s="500"/>
      <c r="AD40" s="892"/>
      <c r="AE40" s="892"/>
    </row>
    <row r="41" spans="1:31" ht="17" thickBot="1">
      <c r="A41" s="698" t="s">
        <v>128</v>
      </c>
      <c r="B41" s="672"/>
      <c r="C41" s="1038" t="s">
        <v>478</v>
      </c>
      <c r="D41" s="1039"/>
      <c r="E41" s="1039"/>
      <c r="F41" s="1039"/>
      <c r="G41" s="1039"/>
      <c r="H41" s="1039"/>
      <c r="I41" s="1039"/>
      <c r="J41" s="1039"/>
      <c r="K41" s="1039"/>
      <c r="L41" s="1039"/>
      <c r="M41" s="1039"/>
      <c r="N41" s="1040"/>
      <c r="O41" s="678">
        <v>3</v>
      </c>
      <c r="P41" s="697" t="s">
        <v>407</v>
      </c>
      <c r="Q41" s="690"/>
      <c r="R41" s="889"/>
      <c r="S41" s="889"/>
      <c r="T41" s="889"/>
      <c r="U41" s="889"/>
      <c r="V41" s="889"/>
      <c r="W41" s="889"/>
      <c r="X41" s="889"/>
      <c r="Y41" s="889"/>
      <c r="Z41" s="889"/>
      <c r="AA41" s="889"/>
      <c r="AB41" s="889"/>
      <c r="AC41" s="434"/>
      <c r="AD41" s="500"/>
      <c r="AE41" s="500"/>
    </row>
    <row r="42" spans="1:31">
      <c r="A42" s="881"/>
      <c r="B42" s="882" t="s">
        <v>410</v>
      </c>
      <c r="C42" s="936" t="s">
        <v>1408</v>
      </c>
      <c r="D42" s="881"/>
      <c r="E42" s="881"/>
      <c r="F42" s="881"/>
      <c r="G42" s="881"/>
      <c r="H42" s="881"/>
      <c r="I42" s="881"/>
      <c r="J42" s="881"/>
      <c r="K42" s="881"/>
      <c r="L42" s="881"/>
      <c r="M42" s="881"/>
      <c r="N42" s="881"/>
      <c r="O42" s="670"/>
      <c r="P42" s="881"/>
      <c r="Q42" s="690"/>
      <c r="R42" s="499" t="s">
        <v>186</v>
      </c>
      <c r="S42" s="889"/>
      <c r="T42" s="889"/>
      <c r="U42" s="889"/>
      <c r="V42" s="889"/>
      <c r="W42" s="468"/>
      <c r="X42" s="889"/>
      <c r="Y42" s="889"/>
      <c r="Z42" s="889"/>
      <c r="AA42" s="889"/>
      <c r="AB42" s="889"/>
      <c r="AC42" s="891"/>
      <c r="AD42" s="434"/>
      <c r="AE42" s="434"/>
    </row>
    <row r="43" spans="1:31">
      <c r="A43" s="881"/>
      <c r="B43" s="882" t="s">
        <v>410</v>
      </c>
      <c r="C43" s="936" t="s">
        <v>1409</v>
      </c>
      <c r="D43" s="881"/>
      <c r="E43" s="881"/>
      <c r="F43" s="881"/>
      <c r="G43" s="881"/>
      <c r="H43" s="881"/>
      <c r="I43" s="881"/>
      <c r="J43" s="881"/>
      <c r="K43" s="881"/>
      <c r="L43" s="881"/>
      <c r="M43" s="881"/>
      <c r="N43" s="881"/>
      <c r="O43" s="670"/>
      <c r="P43" s="881"/>
      <c r="Q43" s="690"/>
      <c r="R43" s="900" t="s">
        <v>347</v>
      </c>
      <c r="S43" s="468"/>
      <c r="T43" s="889"/>
      <c r="U43" s="889"/>
      <c r="V43" s="889"/>
      <c r="W43" s="468"/>
      <c r="X43" s="889"/>
      <c r="Y43" s="889"/>
      <c r="Z43" s="889"/>
      <c r="AA43" s="889"/>
      <c r="AB43" s="889"/>
      <c r="AC43" s="889"/>
      <c r="AD43" s="891"/>
      <c r="AE43" s="891"/>
    </row>
    <row r="44" spans="1:31">
      <c r="A44" s="881"/>
      <c r="B44" s="882" t="s">
        <v>410</v>
      </c>
      <c r="C44" s="936" t="s">
        <v>1410</v>
      </c>
      <c r="D44" s="881"/>
      <c r="E44" s="881"/>
      <c r="F44" s="881"/>
      <c r="G44" s="881"/>
      <c r="H44" s="881"/>
      <c r="I44" s="881"/>
      <c r="J44" s="881"/>
      <c r="K44" s="881"/>
      <c r="L44" s="881"/>
      <c r="M44" s="881"/>
      <c r="N44" s="881"/>
      <c r="O44" s="881"/>
      <c r="P44" s="881"/>
      <c r="Q44" s="690"/>
      <c r="R44" s="900" t="s">
        <v>348</v>
      </c>
      <c r="S44" s="680"/>
      <c r="T44" s="281"/>
      <c r="U44" s="889"/>
      <c r="V44" s="889"/>
      <c r="W44" s="468"/>
      <c r="X44" s="889"/>
      <c r="Y44" s="889"/>
      <c r="Z44" s="889"/>
      <c r="AA44" s="889"/>
      <c r="AB44" s="889"/>
      <c r="AC44" s="889"/>
      <c r="AD44" s="889"/>
      <c r="AE44" s="889"/>
    </row>
    <row r="45" spans="1:31">
      <c r="A45" s="881"/>
      <c r="B45" s="882" t="s">
        <v>411</v>
      </c>
      <c r="C45" s="889" t="s">
        <v>1396</v>
      </c>
      <c r="D45" s="881"/>
      <c r="E45" s="881"/>
      <c r="F45" s="881"/>
      <c r="G45" s="881"/>
      <c r="H45" s="881"/>
      <c r="I45" s="881"/>
      <c r="J45" s="881"/>
      <c r="K45" s="881"/>
      <c r="L45" s="881"/>
      <c r="M45" s="881"/>
      <c r="N45" s="881"/>
      <c r="O45" s="881"/>
      <c r="P45" s="881"/>
      <c r="Q45" s="690"/>
      <c r="R45" s="900" t="s">
        <v>349</v>
      </c>
      <c r="S45" s="680"/>
      <c r="T45" s="489"/>
      <c r="U45" s="889"/>
      <c r="V45" s="889"/>
      <c r="W45" s="468"/>
      <c r="X45" s="889"/>
      <c r="Y45" s="889"/>
      <c r="Z45" s="889"/>
      <c r="AA45" s="889"/>
      <c r="AB45" s="889"/>
      <c r="AC45" s="680"/>
      <c r="AD45" s="434"/>
      <c r="AE45" s="434"/>
    </row>
    <row r="46" spans="1:31">
      <c r="A46" s="881"/>
      <c r="B46" s="882" t="s">
        <v>411</v>
      </c>
      <c r="C46" s="889" t="s">
        <v>1411</v>
      </c>
      <c r="D46" s="881"/>
      <c r="E46" s="881"/>
      <c r="G46" s="881"/>
      <c r="H46" s="881"/>
      <c r="I46" s="881"/>
      <c r="J46" s="881"/>
      <c r="K46" s="881"/>
      <c r="L46" s="881"/>
      <c r="M46" s="881"/>
      <c r="N46" s="881"/>
      <c r="O46" s="881"/>
      <c r="P46" s="881"/>
      <c r="Q46" s="690"/>
      <c r="R46" s="900" t="s">
        <v>350</v>
      </c>
      <c r="S46" s="667"/>
      <c r="T46" s="281"/>
      <c r="U46" s="889"/>
      <c r="V46" s="889"/>
      <c r="W46" s="468"/>
      <c r="X46" s="889"/>
      <c r="Y46" s="889"/>
      <c r="Z46" s="889"/>
      <c r="AA46" s="889"/>
      <c r="AB46" s="889"/>
      <c r="AC46" s="680"/>
      <c r="AD46" s="434"/>
      <c r="AE46" s="434"/>
    </row>
    <row r="47" spans="1:31">
      <c r="A47" s="881"/>
      <c r="B47" s="882" t="s">
        <v>411</v>
      </c>
      <c r="C47" s="889"/>
      <c r="D47" s="881"/>
      <c r="E47" s="881"/>
      <c r="F47" s="881"/>
      <c r="G47" s="881"/>
      <c r="H47" s="881"/>
      <c r="I47" s="881"/>
      <c r="J47" s="881"/>
      <c r="K47" s="881"/>
      <c r="L47" s="881"/>
      <c r="M47" s="881"/>
      <c r="N47" s="881"/>
      <c r="O47" s="881"/>
      <c r="P47" s="881"/>
      <c r="Q47" s="690"/>
      <c r="R47" s="900" t="s">
        <v>351</v>
      </c>
      <c r="S47" s="667"/>
      <c r="T47" s="480"/>
      <c r="U47" s="889"/>
      <c r="V47" s="889"/>
      <c r="W47" s="889"/>
      <c r="X47" s="889"/>
      <c r="Y47" s="889"/>
      <c r="Z47" s="889"/>
      <c r="AA47" s="889"/>
      <c r="AB47" s="889"/>
      <c r="AC47" s="680"/>
      <c r="AD47" s="434"/>
      <c r="AE47" s="434"/>
    </row>
    <row r="48" spans="1:31">
      <c r="A48" s="881"/>
      <c r="B48" s="882" t="s">
        <v>130</v>
      </c>
      <c r="C48" s="886" t="s">
        <v>1412</v>
      </c>
      <c r="D48" s="881"/>
      <c r="E48" s="881"/>
      <c r="F48" s="881"/>
      <c r="G48" s="881"/>
      <c r="H48" s="881"/>
      <c r="I48" s="881"/>
      <c r="J48" s="881"/>
      <c r="K48" s="881"/>
      <c r="L48" s="881"/>
      <c r="M48" s="881"/>
      <c r="N48" s="881"/>
      <c r="O48" s="881"/>
      <c r="P48" s="881"/>
      <c r="Q48" s="690"/>
      <c r="R48" s="900" t="s">
        <v>352</v>
      </c>
      <c r="S48" s="667"/>
      <c r="T48" s="489"/>
      <c r="U48" s="889"/>
      <c r="V48" s="889"/>
      <c r="W48" s="889"/>
      <c r="X48" s="889"/>
      <c r="Y48" s="889"/>
      <c r="Z48" s="889"/>
      <c r="AA48" s="889"/>
      <c r="AB48" s="889"/>
      <c r="AC48" s="680"/>
      <c r="AD48" s="434"/>
      <c r="AE48" s="434"/>
    </row>
    <row r="49" spans="1:31" ht="16" thickBot="1">
      <c r="Q49" s="690"/>
      <c r="R49" s="889"/>
      <c r="S49" s="667"/>
      <c r="T49" s="281"/>
      <c r="U49" s="889"/>
      <c r="V49" s="889"/>
      <c r="W49" s="889"/>
      <c r="X49" s="889"/>
      <c r="Y49" s="889"/>
      <c r="Z49" s="889"/>
      <c r="AA49" s="889"/>
      <c r="AB49" s="889"/>
      <c r="AC49" s="889"/>
      <c r="AD49" s="889"/>
      <c r="AE49" s="889"/>
    </row>
    <row r="50" spans="1:31" ht="17" thickBot="1">
      <c r="A50" s="698" t="s">
        <v>129</v>
      </c>
      <c r="B50" s="672"/>
      <c r="C50" s="1038" t="s">
        <v>479</v>
      </c>
      <c r="D50" s="1039"/>
      <c r="E50" s="1039"/>
      <c r="F50" s="1039"/>
      <c r="G50" s="1039"/>
      <c r="H50" s="1039"/>
      <c r="I50" s="1039"/>
      <c r="J50" s="1039"/>
      <c r="K50" s="1039"/>
      <c r="L50" s="1039"/>
      <c r="M50" s="1039"/>
      <c r="N50" s="1040"/>
      <c r="O50" s="678">
        <v>3</v>
      </c>
      <c r="P50" s="697" t="s">
        <v>407</v>
      </c>
      <c r="Q50" s="690"/>
      <c r="R50" s="887" t="s">
        <v>535</v>
      </c>
      <c r="S50" s="680"/>
      <c r="T50" s="281"/>
      <c r="U50" s="889"/>
      <c r="V50" s="889"/>
      <c r="W50" s="889"/>
      <c r="X50" s="889"/>
      <c r="Y50" s="889"/>
      <c r="Z50" s="889"/>
      <c r="AA50" s="889"/>
      <c r="AB50" s="889"/>
      <c r="AC50" s="889"/>
      <c r="AD50" s="889"/>
      <c r="AE50" s="889"/>
    </row>
    <row r="51" spans="1:31">
      <c r="A51" s="881"/>
      <c r="B51" s="882" t="s">
        <v>410</v>
      </c>
      <c r="C51" s="936" t="s">
        <v>1413</v>
      </c>
      <c r="D51" s="881"/>
      <c r="E51" s="881"/>
      <c r="F51" s="881"/>
      <c r="G51" s="881"/>
      <c r="H51" s="881"/>
      <c r="I51" s="881"/>
      <c r="J51" s="881"/>
      <c r="K51" s="881"/>
      <c r="L51" s="881"/>
      <c r="M51" s="881"/>
      <c r="N51" s="881"/>
      <c r="O51" s="670"/>
      <c r="P51" s="881"/>
      <c r="Q51" s="690"/>
      <c r="R51" s="898" t="s">
        <v>1397</v>
      </c>
      <c r="S51" s="680"/>
      <c r="T51" s="489"/>
      <c r="U51" s="889"/>
      <c r="V51" s="889"/>
      <c r="W51" s="889"/>
      <c r="X51" s="889"/>
      <c r="Y51" s="889"/>
      <c r="Z51" s="889"/>
      <c r="AA51" s="889"/>
      <c r="AB51" s="680"/>
      <c r="AC51" s="889"/>
      <c r="AD51" s="889"/>
      <c r="AE51" s="889"/>
    </row>
    <row r="52" spans="1:31">
      <c r="A52" s="881"/>
      <c r="B52" s="882" t="s">
        <v>410</v>
      </c>
      <c r="C52" s="936" t="s">
        <v>1414</v>
      </c>
      <c r="D52" s="881"/>
      <c r="E52" s="881"/>
      <c r="F52" s="881"/>
      <c r="G52" s="881"/>
      <c r="H52" s="881"/>
      <c r="I52" s="881"/>
      <c r="J52" s="881"/>
      <c r="K52" s="881"/>
      <c r="L52" s="881"/>
      <c r="M52" s="881"/>
      <c r="N52" s="881"/>
      <c r="O52" s="670"/>
      <c r="P52" s="881"/>
      <c r="Q52" s="690"/>
      <c r="R52" s="899" t="s">
        <v>1402</v>
      </c>
      <c r="S52" s="667"/>
      <c r="T52" s="480"/>
      <c r="U52" s="889"/>
      <c r="V52" s="889"/>
      <c r="W52" s="889"/>
      <c r="X52" s="889"/>
      <c r="Y52" s="889"/>
      <c r="Z52" s="889"/>
      <c r="AA52" s="889"/>
      <c r="AB52" s="680"/>
      <c r="AC52" s="889"/>
      <c r="AD52" s="889"/>
      <c r="AE52" s="889"/>
    </row>
    <row r="53" spans="1:31">
      <c r="A53" s="881"/>
      <c r="B53" s="882" t="s">
        <v>410</v>
      </c>
      <c r="C53" s="936" t="s">
        <v>1415</v>
      </c>
      <c r="D53" s="881"/>
      <c r="E53" s="881"/>
      <c r="F53" s="881"/>
      <c r="G53" s="881"/>
      <c r="H53" s="881"/>
      <c r="I53" s="881"/>
      <c r="J53" s="881"/>
      <c r="K53" s="881"/>
      <c r="L53" s="881"/>
      <c r="M53" s="881"/>
      <c r="N53" s="881"/>
      <c r="O53" s="881"/>
      <c r="P53" s="881"/>
      <c r="Q53" s="690"/>
      <c r="R53" s="899" t="s">
        <v>1418</v>
      </c>
      <c r="S53" s="667"/>
      <c r="T53" s="489"/>
      <c r="U53" s="680"/>
      <c r="V53" s="680"/>
      <c r="W53" s="680"/>
      <c r="X53" s="680"/>
      <c r="Y53" s="680"/>
      <c r="Z53" s="680"/>
      <c r="AA53" s="680"/>
      <c r="AB53" s="680"/>
      <c r="AC53" s="889"/>
      <c r="AD53" s="889"/>
      <c r="AE53" s="889"/>
    </row>
    <row r="54" spans="1:31">
      <c r="A54" s="881"/>
      <c r="B54" s="882" t="s">
        <v>411</v>
      </c>
      <c r="C54" s="889" t="s">
        <v>1416</v>
      </c>
      <c r="D54" s="881"/>
      <c r="E54" s="881"/>
      <c r="F54" s="881"/>
      <c r="G54" s="881"/>
      <c r="H54" s="881"/>
      <c r="I54" s="881"/>
      <c r="J54" s="881"/>
      <c r="K54" s="881"/>
      <c r="L54" s="881"/>
      <c r="M54" s="881"/>
      <c r="N54" s="881"/>
      <c r="O54" s="881"/>
      <c r="P54" s="881"/>
      <c r="Q54" s="690"/>
      <c r="R54" s="899" t="s">
        <v>1417</v>
      </c>
      <c r="S54" s="667"/>
      <c r="T54" s="489"/>
      <c r="U54" s="680"/>
      <c r="V54" s="680"/>
      <c r="W54" s="680"/>
      <c r="X54" s="680"/>
      <c r="Y54" s="680"/>
      <c r="Z54" s="680"/>
      <c r="AA54" s="680"/>
      <c r="AB54" s="889"/>
      <c r="AC54" s="889"/>
      <c r="AD54" s="889"/>
      <c r="AE54" s="889"/>
    </row>
    <row r="55" spans="1:31" ht="16">
      <c r="A55" s="881"/>
      <c r="B55" s="882" t="s">
        <v>411</v>
      </c>
      <c r="C55" s="889" t="s">
        <v>1394</v>
      </c>
      <c r="D55" s="881"/>
      <c r="E55" s="881"/>
      <c r="F55" s="881"/>
      <c r="G55" s="881"/>
      <c r="H55" s="881"/>
      <c r="I55" s="881"/>
      <c r="J55" s="881"/>
      <c r="K55" s="881"/>
      <c r="L55" s="881"/>
      <c r="M55" s="881"/>
      <c r="N55" s="881"/>
      <c r="O55" s="881"/>
      <c r="P55" s="881"/>
      <c r="R55" s="891"/>
      <c r="S55" s="528"/>
      <c r="T55" s="281"/>
      <c r="U55" s="680"/>
      <c r="V55" s="680"/>
      <c r="W55" s="680"/>
      <c r="X55" s="680"/>
      <c r="Y55" s="680"/>
      <c r="Z55" s="680"/>
      <c r="AA55" s="680"/>
      <c r="AB55" s="680"/>
      <c r="AC55" s="680"/>
      <c r="AD55" s="889"/>
      <c r="AE55" s="889"/>
    </row>
    <row r="56" spans="1:31" ht="16">
      <c r="A56" s="881"/>
      <c r="B56" s="882" t="s">
        <v>411</v>
      </c>
      <c r="C56" s="889" t="s">
        <v>1395</v>
      </c>
      <c r="D56" s="881"/>
      <c r="E56" s="881"/>
      <c r="F56" s="881"/>
      <c r="G56" s="881"/>
      <c r="H56" s="881"/>
      <c r="I56" s="881"/>
      <c r="J56" s="881"/>
      <c r="K56" s="881"/>
      <c r="L56" s="881"/>
      <c r="M56" s="881"/>
      <c r="N56" s="881"/>
      <c r="O56" s="881"/>
      <c r="P56" s="881"/>
      <c r="R56" s="680"/>
      <c r="S56" s="528"/>
      <c r="T56" s="680"/>
      <c r="U56" s="680"/>
      <c r="V56" s="680"/>
      <c r="W56" s="680"/>
      <c r="X56" s="889"/>
      <c r="Y56" s="889"/>
      <c r="Z56" s="889"/>
      <c r="AA56" s="889"/>
      <c r="AB56" s="680"/>
      <c r="AC56" s="680"/>
      <c r="AD56" s="680"/>
      <c r="AE56" s="680"/>
    </row>
    <row r="57" spans="1:31" ht="16">
      <c r="A57" s="881"/>
      <c r="B57" s="882" t="s">
        <v>130</v>
      </c>
      <c r="C57" s="886" t="s">
        <v>1417</v>
      </c>
      <c r="D57" s="881"/>
      <c r="E57" s="881"/>
      <c r="F57" s="881"/>
      <c r="G57" s="881"/>
      <c r="H57" s="881"/>
      <c r="I57" s="881"/>
      <c r="J57" s="881"/>
      <c r="K57" s="881"/>
      <c r="L57" s="881"/>
      <c r="M57" s="881"/>
      <c r="N57" s="881"/>
      <c r="O57" s="881"/>
      <c r="P57" s="881"/>
      <c r="R57" s="680"/>
      <c r="S57" s="528"/>
      <c r="T57" s="680"/>
      <c r="U57" s="680"/>
      <c r="V57" s="680"/>
      <c r="W57" s="680"/>
      <c r="X57" s="680"/>
      <c r="Y57" s="680"/>
      <c r="Z57" s="680"/>
      <c r="AA57" s="680"/>
      <c r="AB57" s="680"/>
      <c r="AC57" s="680"/>
      <c r="AD57" s="680"/>
      <c r="AE57" s="680"/>
    </row>
    <row r="58" spans="1:31">
      <c r="R58" s="889"/>
      <c r="S58" s="889"/>
      <c r="T58" s="889"/>
      <c r="U58" s="889"/>
      <c r="V58" s="889"/>
      <c r="W58" s="889"/>
      <c r="X58" s="889"/>
      <c r="Y58" s="889"/>
      <c r="Z58" s="680"/>
      <c r="AA58" s="680"/>
      <c r="AB58" s="680"/>
      <c r="AC58" s="889"/>
      <c r="AD58" s="680"/>
      <c r="AE58" s="680"/>
    </row>
    <row r="59" spans="1:31">
      <c r="R59" s="886"/>
      <c r="S59" s="886"/>
      <c r="T59" s="886"/>
      <c r="U59" s="886"/>
      <c r="V59" s="886"/>
      <c r="W59" s="886"/>
      <c r="X59" s="886"/>
      <c r="Y59" s="886"/>
      <c r="Z59" s="671"/>
      <c r="AA59" s="680"/>
      <c r="AB59" s="680"/>
      <c r="AC59" s="680"/>
      <c r="AD59" s="680"/>
      <c r="AE59" s="680"/>
    </row>
    <row r="60" spans="1:31">
      <c r="R60" s="680"/>
      <c r="S60" s="680"/>
      <c r="T60" s="680"/>
      <c r="U60" s="680"/>
      <c r="V60" s="680"/>
      <c r="W60" s="680"/>
      <c r="X60" s="680"/>
      <c r="Y60" s="680"/>
      <c r="Z60" s="889"/>
      <c r="AA60" s="680"/>
      <c r="AB60" s="680"/>
      <c r="AC60" s="680"/>
      <c r="AD60" s="680"/>
      <c r="AE60" s="680"/>
    </row>
    <row r="61" spans="1:31">
      <c r="R61" s="889"/>
      <c r="S61" s="889"/>
      <c r="T61" s="889"/>
      <c r="U61" s="889"/>
      <c r="V61" s="889"/>
      <c r="W61" s="889"/>
      <c r="X61" s="889"/>
      <c r="Y61" s="889"/>
      <c r="Z61" s="889"/>
      <c r="AA61" s="680"/>
      <c r="AB61" s="680"/>
      <c r="AC61" s="680"/>
      <c r="AD61" s="680"/>
      <c r="AE61" s="680"/>
    </row>
    <row r="62" spans="1:31">
      <c r="R62" s="889"/>
      <c r="S62" s="889"/>
      <c r="T62" s="889"/>
      <c r="U62" s="889"/>
      <c r="V62" s="889"/>
      <c r="W62" s="889"/>
      <c r="X62" s="889"/>
      <c r="Y62" s="889"/>
      <c r="Z62" s="889"/>
      <c r="AA62" s="680"/>
      <c r="AB62" s="680"/>
      <c r="AC62" s="680"/>
      <c r="AD62" s="680"/>
      <c r="AE62" s="680"/>
    </row>
    <row r="63" spans="1:31">
      <c r="R63" s="680"/>
      <c r="S63" s="680"/>
      <c r="T63" s="680"/>
      <c r="U63" s="680"/>
      <c r="V63" s="680"/>
      <c r="W63" s="680"/>
      <c r="X63" s="680"/>
      <c r="Y63" s="680"/>
      <c r="Z63" s="680"/>
      <c r="AA63" s="680"/>
      <c r="AB63" s="680"/>
      <c r="AC63" s="680"/>
      <c r="AD63" s="680"/>
      <c r="AE63" s="680"/>
    </row>
    <row r="64" spans="1:31">
      <c r="R64" s="680"/>
      <c r="S64" s="888"/>
      <c r="T64" s="680"/>
      <c r="U64" s="680"/>
      <c r="V64" s="680"/>
      <c r="W64" s="680"/>
      <c r="X64" s="680"/>
      <c r="Y64" s="680"/>
      <c r="Z64" s="680"/>
      <c r="AA64" s="680"/>
      <c r="AB64" s="889"/>
      <c r="AC64" s="680"/>
      <c r="AD64" s="680"/>
      <c r="AE64" s="680"/>
    </row>
    <row r="65" spans="18:31">
      <c r="R65" s="680"/>
      <c r="S65" s="888"/>
      <c r="T65" s="680"/>
      <c r="U65" s="680"/>
      <c r="V65" s="680"/>
      <c r="W65" s="680"/>
      <c r="X65" s="680"/>
      <c r="Y65" s="680"/>
      <c r="Z65" s="680"/>
      <c r="AA65" s="680"/>
      <c r="AB65" s="889"/>
      <c r="AC65" s="680"/>
      <c r="AD65" s="680"/>
      <c r="AE65" s="680"/>
    </row>
    <row r="66" spans="18:31">
      <c r="R66" s="680"/>
      <c r="S66" s="680"/>
      <c r="T66" s="680"/>
      <c r="U66" s="680"/>
      <c r="V66" s="680"/>
      <c r="W66" s="680"/>
      <c r="X66" s="680"/>
      <c r="Y66" s="680"/>
      <c r="Z66" s="680"/>
      <c r="AA66" s="889"/>
      <c r="AB66" s="889"/>
      <c r="AC66" s="680"/>
      <c r="AD66" s="680"/>
      <c r="AE66" s="680"/>
    </row>
    <row r="67" spans="18:31">
      <c r="R67" s="887"/>
      <c r="S67" s="680"/>
      <c r="T67" s="680"/>
      <c r="U67" s="680"/>
      <c r="V67" s="680"/>
      <c r="W67" s="889"/>
      <c r="X67" s="889"/>
      <c r="Y67" s="889"/>
      <c r="Z67" s="889"/>
      <c r="AA67" s="889"/>
      <c r="AB67" s="889"/>
      <c r="AC67" s="680"/>
      <c r="AD67" s="680"/>
      <c r="AE67" s="680"/>
    </row>
    <row r="68" spans="18:31">
      <c r="R68" s="680"/>
      <c r="S68" s="680"/>
      <c r="T68" s="680"/>
      <c r="U68" s="680"/>
      <c r="V68" s="680"/>
      <c r="W68" s="889"/>
      <c r="X68" s="889"/>
      <c r="Y68" s="889"/>
      <c r="Z68" s="889"/>
      <c r="AA68" s="889"/>
      <c r="AB68" s="892"/>
      <c r="AC68" s="680"/>
      <c r="AD68" s="680"/>
      <c r="AE68" s="680"/>
    </row>
    <row r="69" spans="18:31">
      <c r="R69" s="515"/>
      <c r="S69" s="680"/>
      <c r="T69" s="680"/>
      <c r="U69" s="680"/>
      <c r="V69" s="680"/>
      <c r="W69" s="889"/>
      <c r="X69" s="889"/>
      <c r="Y69" s="889"/>
      <c r="Z69" s="889"/>
      <c r="AA69" s="889"/>
      <c r="AB69" s="892"/>
      <c r="AC69" s="680"/>
      <c r="AD69" s="889"/>
      <c r="AE69" s="889"/>
    </row>
    <row r="70" spans="18:31">
      <c r="R70" s="515"/>
      <c r="S70" s="889"/>
      <c r="T70" s="889"/>
      <c r="U70" s="889"/>
      <c r="V70" s="889"/>
      <c r="W70" s="892"/>
      <c r="X70" s="892"/>
      <c r="Y70" s="892"/>
      <c r="Z70" s="892"/>
      <c r="AA70" s="892"/>
      <c r="AB70" s="889"/>
      <c r="AC70" s="680"/>
      <c r="AD70" s="889"/>
      <c r="AE70" s="889"/>
    </row>
    <row r="71" spans="18:31">
      <c r="R71" s="515"/>
      <c r="S71" s="490"/>
      <c r="T71" s="889"/>
      <c r="U71" s="889"/>
      <c r="V71" s="889"/>
      <c r="W71" s="892"/>
      <c r="X71" s="892"/>
      <c r="Y71" s="892"/>
      <c r="Z71" s="892"/>
      <c r="AA71" s="892"/>
      <c r="AB71" s="889"/>
      <c r="AC71" s="680"/>
      <c r="AD71" s="889"/>
      <c r="AE71" s="889"/>
    </row>
    <row r="72" spans="18:31">
      <c r="R72" s="889"/>
      <c r="S72" s="889"/>
      <c r="T72" s="468"/>
      <c r="U72" s="468"/>
      <c r="V72" s="468"/>
      <c r="W72" s="889"/>
      <c r="X72" s="889"/>
      <c r="Y72" s="889"/>
      <c r="Z72" s="889"/>
      <c r="AA72" s="889"/>
      <c r="AB72" s="891"/>
      <c r="AC72" s="892"/>
      <c r="AD72" s="889"/>
      <c r="AE72" s="889"/>
    </row>
    <row r="73" spans="18:31">
      <c r="S73" s="468"/>
      <c r="T73" s="468"/>
      <c r="U73" s="468"/>
      <c r="V73" s="889"/>
      <c r="W73" s="889"/>
      <c r="X73" s="889"/>
      <c r="Y73" s="889"/>
      <c r="Z73" s="889"/>
      <c r="AA73" s="889"/>
      <c r="AB73" s="889"/>
      <c r="AC73" s="892"/>
      <c r="AD73" s="889"/>
      <c r="AE73" s="889"/>
    </row>
    <row r="74" spans="18:31">
      <c r="S74" s="892"/>
      <c r="T74" s="892"/>
      <c r="U74" s="892"/>
      <c r="V74" s="892"/>
      <c r="W74" s="891"/>
      <c r="X74" s="891"/>
      <c r="Y74" s="891"/>
      <c r="Z74" s="891"/>
      <c r="AA74" s="891"/>
      <c r="AB74" s="889"/>
      <c r="AC74" s="889"/>
      <c r="AD74" s="889"/>
      <c r="AE74" s="889"/>
    </row>
    <row r="75" spans="18:31">
      <c r="S75" s="892"/>
      <c r="T75" s="892"/>
      <c r="U75" s="892"/>
      <c r="V75" s="892"/>
      <c r="W75" s="889"/>
      <c r="X75" s="889"/>
      <c r="Y75" s="889"/>
      <c r="Z75" s="889"/>
      <c r="AA75" s="889"/>
      <c r="AB75" s="889"/>
      <c r="AC75" s="889"/>
      <c r="AD75" s="889"/>
      <c r="AE75" s="889"/>
    </row>
    <row r="76" spans="18:31">
      <c r="S76" s="889"/>
      <c r="T76" s="489"/>
      <c r="U76" s="468"/>
      <c r="V76" s="889"/>
      <c r="W76" s="889"/>
      <c r="X76" s="889"/>
      <c r="Y76" s="889"/>
      <c r="Z76" s="889"/>
      <c r="AA76" s="889"/>
      <c r="AB76" s="889"/>
      <c r="AC76" s="891"/>
      <c r="AD76" s="889"/>
      <c r="AE76" s="889"/>
    </row>
    <row r="77" spans="18:31">
      <c r="S77" s="889"/>
      <c r="T77" s="889"/>
      <c r="U77" s="889"/>
      <c r="V77" s="889"/>
      <c r="W77" s="889"/>
      <c r="X77" s="889"/>
      <c r="Y77" s="889"/>
      <c r="Z77" s="889"/>
      <c r="AA77" s="889"/>
      <c r="AC77" s="889"/>
      <c r="AD77" s="889"/>
      <c r="AE77" s="889"/>
    </row>
    <row r="78" spans="18:31">
      <c r="S78" s="891"/>
      <c r="T78" s="891"/>
      <c r="U78" s="891"/>
      <c r="V78" s="891"/>
      <c r="W78" s="889"/>
      <c r="X78" s="889"/>
      <c r="Y78" s="889"/>
      <c r="Z78" s="889"/>
      <c r="AA78" s="889"/>
      <c r="AC78" s="889"/>
      <c r="AD78" s="889"/>
      <c r="AE78" s="889"/>
    </row>
    <row r="79" spans="18:31">
      <c r="AC79" s="889"/>
      <c r="AD79" s="889"/>
      <c r="AE79" s="889"/>
    </row>
    <row r="80" spans="18:31">
      <c r="AC80" s="889"/>
      <c r="AD80" s="889"/>
      <c r="AE80" s="889"/>
    </row>
    <row r="81" spans="30:31">
      <c r="AD81" s="889"/>
      <c r="AE81" s="889"/>
    </row>
  </sheetData>
  <mergeCells count="7">
    <mergeCell ref="C12:N12"/>
    <mergeCell ref="C21:N21"/>
    <mergeCell ref="C41:N41"/>
    <mergeCell ref="C50:N50"/>
    <mergeCell ref="R6:Y6"/>
    <mergeCell ref="R9:AB9"/>
    <mergeCell ref="R10:AC10"/>
  </mergeCells>
  <dataValidations disablePrompts="1" count="2">
    <dataValidation type="list" allowBlank="1" showInputMessage="1" showErrorMessage="1" sqref="B12:B18 B22:B27 B33:B38 B42:B47 B51:B56 S35:S40 S11:S16 S29:S33 S18:S22 S24:S27" xr:uid="{00000000-0002-0000-1A00-000000000000}">
      <formula1>Choix_capacité</formula1>
    </dataValidation>
    <dataValidation type="list" allowBlank="1" showInputMessage="1" showErrorMessage="1" sqref="P11 P32 P41 P50" xr:uid="{00000000-0002-0000-1A00-000001000000}">
      <formula1>choix</formula1>
    </dataValidation>
  </dataValidations>
  <pageMargins left="0.7" right="0.7" top="0.75" bottom="0.75" header="0.3" footer="0.3"/>
  <pageSetup paperSize="9" scale="25" orientation="portrait" horizontalDpi="4294967293" verticalDpi="0"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8">
    <tabColor theme="5"/>
  </sheetPr>
  <dimension ref="A3:U46"/>
  <sheetViews>
    <sheetView zoomScale="80" zoomScaleNormal="80" workbookViewId="0">
      <selection activeCell="A2" sqref="A2"/>
    </sheetView>
  </sheetViews>
  <sheetFormatPr baseColWidth="10" defaultRowHeight="15"/>
  <cols>
    <col min="2" max="2" width="13.6640625" customWidth="1"/>
    <col min="3" max="3" width="17.6640625" customWidth="1"/>
    <col min="12" max="12" width="17.5" customWidth="1"/>
    <col min="13" max="13" width="13.5" bestFit="1" customWidth="1"/>
    <col min="14" max="14" width="17.83203125" customWidth="1"/>
  </cols>
  <sheetData>
    <row r="3" spans="1:21" ht="16" thickBot="1"/>
    <row r="4" spans="1:21" ht="19">
      <c r="B4" s="270" t="s">
        <v>113</v>
      </c>
      <c r="C4" s="228" t="s">
        <v>126</v>
      </c>
      <c r="D4" s="229" t="s">
        <v>46</v>
      </c>
      <c r="E4" s="227" t="s">
        <v>45</v>
      </c>
      <c r="G4" s="260" t="s">
        <v>165</v>
      </c>
    </row>
    <row r="5" spans="1:21">
      <c r="C5" s="230" t="s">
        <v>55</v>
      </c>
      <c r="D5" s="231">
        <v>2</v>
      </c>
    </row>
    <row r="6" spans="1:21" ht="16" thickBot="1">
      <c r="C6" s="232" t="s">
        <v>62</v>
      </c>
      <c r="D6" s="261">
        <v>24</v>
      </c>
    </row>
    <row r="7" spans="1:21" ht="16" thickBot="1">
      <c r="T7" s="242"/>
    </row>
    <row r="8" spans="1:21" ht="33" thickBot="1">
      <c r="M8" s="320" t="s">
        <v>125</v>
      </c>
      <c r="N8" s="320" t="s">
        <v>408</v>
      </c>
    </row>
    <row r="9" spans="1:21" ht="16" thickBot="1">
      <c r="T9" s="250"/>
      <c r="U9" s="244"/>
    </row>
    <row r="10" spans="1:21" ht="17" thickBot="1">
      <c r="A10" s="323" t="s">
        <v>127</v>
      </c>
      <c r="B10" s="234"/>
      <c r="C10" s="262" t="s">
        <v>480</v>
      </c>
      <c r="D10" s="263"/>
      <c r="E10" s="263"/>
      <c r="F10" s="263"/>
      <c r="G10" s="263"/>
      <c r="H10" s="263"/>
      <c r="I10" s="263"/>
      <c r="J10" s="263"/>
      <c r="K10" s="264"/>
      <c r="L10" s="239"/>
      <c r="M10" s="241">
        <v>2</v>
      </c>
      <c r="N10" s="321"/>
      <c r="P10" s="1081" t="s">
        <v>209</v>
      </c>
      <c r="Q10" s="1082"/>
      <c r="R10" s="1082"/>
      <c r="S10" s="1082"/>
      <c r="T10" s="1082"/>
      <c r="U10" s="1082"/>
    </row>
    <row r="11" spans="1:21">
      <c r="B11" s="242" t="s">
        <v>410</v>
      </c>
      <c r="C11" s="226"/>
      <c r="M11" s="225"/>
      <c r="P11" s="306"/>
      <c r="Q11" s="244"/>
      <c r="R11" s="244"/>
      <c r="S11" s="244"/>
      <c r="T11" s="244"/>
      <c r="U11" s="245"/>
    </row>
    <row r="12" spans="1:21" ht="15.75" customHeight="1">
      <c r="B12" s="242" t="s">
        <v>410</v>
      </c>
      <c r="C12" s="226"/>
      <c r="M12" s="225"/>
      <c r="P12" s="307" t="s">
        <v>172</v>
      </c>
      <c r="Q12" s="244"/>
      <c r="R12" s="244"/>
      <c r="S12" s="244"/>
      <c r="T12" s="244"/>
      <c r="U12" s="244"/>
    </row>
    <row r="13" spans="1:21">
      <c r="B13" s="242" t="s">
        <v>410</v>
      </c>
      <c r="C13" s="226"/>
      <c r="M13" s="225"/>
      <c r="P13" s="308" t="s">
        <v>173</v>
      </c>
      <c r="Q13" s="244"/>
      <c r="R13" s="244"/>
      <c r="S13" s="244"/>
      <c r="T13" s="244"/>
      <c r="U13" s="244"/>
    </row>
    <row r="14" spans="1:21">
      <c r="B14" s="242" t="s">
        <v>411</v>
      </c>
      <c r="C14" s="226"/>
      <c r="M14" s="225"/>
      <c r="P14" s="309" t="s">
        <v>169</v>
      </c>
      <c r="Q14" s="244"/>
      <c r="R14" s="244"/>
      <c r="S14" s="244"/>
      <c r="T14" s="244"/>
      <c r="U14" s="244"/>
    </row>
    <row r="15" spans="1:21">
      <c r="B15" s="242" t="s">
        <v>411</v>
      </c>
      <c r="M15" s="225"/>
      <c r="P15" s="307" t="s">
        <v>142</v>
      </c>
      <c r="Q15" s="244"/>
      <c r="R15" s="244"/>
      <c r="S15" s="244"/>
      <c r="T15" s="244"/>
      <c r="U15" s="244"/>
    </row>
    <row r="16" spans="1:21">
      <c r="B16" s="242" t="s">
        <v>411</v>
      </c>
      <c r="M16" s="225"/>
      <c r="P16" s="259"/>
    </row>
    <row r="17" spans="1:21">
      <c r="B17" s="242" t="s">
        <v>130</v>
      </c>
      <c r="M17" s="225"/>
      <c r="R17" s="244"/>
      <c r="S17" s="246"/>
    </row>
    <row r="18" spans="1:21" ht="16" thickBot="1">
      <c r="M18" s="225"/>
      <c r="P18" s="297" t="s">
        <v>183</v>
      </c>
      <c r="Q18" s="294"/>
    </row>
    <row r="19" spans="1:21" ht="17" thickBot="1">
      <c r="A19" s="323" t="s">
        <v>128</v>
      </c>
      <c r="B19" s="234"/>
      <c r="C19" s="262" t="s">
        <v>64</v>
      </c>
      <c r="D19" s="263"/>
      <c r="E19" s="263"/>
      <c r="F19" s="263"/>
      <c r="G19" s="263"/>
      <c r="H19" s="263"/>
      <c r="I19" s="263"/>
      <c r="J19" s="263"/>
      <c r="K19" s="263"/>
      <c r="L19" s="263"/>
      <c r="M19" s="241">
        <v>2</v>
      </c>
      <c r="N19" s="321"/>
      <c r="O19" s="256"/>
      <c r="P19" s="289"/>
      <c r="T19" s="243"/>
      <c r="U19" s="245"/>
    </row>
    <row r="20" spans="1:21">
      <c r="B20" s="242" t="s">
        <v>410</v>
      </c>
      <c r="O20" s="256"/>
      <c r="P20" s="288" t="s">
        <v>176</v>
      </c>
      <c r="T20" s="243"/>
      <c r="U20" s="245"/>
    </row>
    <row r="21" spans="1:21" ht="15.75" customHeight="1">
      <c r="B21" s="242" t="s">
        <v>410</v>
      </c>
      <c r="O21" s="244"/>
      <c r="P21" s="290" t="s">
        <v>353</v>
      </c>
      <c r="T21" s="243"/>
      <c r="U21" s="247"/>
    </row>
    <row r="22" spans="1:21">
      <c r="B22" s="242" t="s">
        <v>410</v>
      </c>
      <c r="O22" s="244"/>
      <c r="P22" s="290" t="s">
        <v>354</v>
      </c>
      <c r="T22" s="243"/>
      <c r="U22" s="247"/>
    </row>
    <row r="23" spans="1:21" ht="15.75" customHeight="1">
      <c r="B23" s="242" t="s">
        <v>411</v>
      </c>
      <c r="N23" s="244"/>
      <c r="O23" s="244"/>
      <c r="P23" s="289"/>
      <c r="T23" s="243"/>
      <c r="U23" s="247"/>
    </row>
    <row r="24" spans="1:21">
      <c r="B24" s="242" t="s">
        <v>411</v>
      </c>
      <c r="N24" s="244"/>
      <c r="O24" s="244"/>
      <c r="P24" s="288" t="s">
        <v>186</v>
      </c>
      <c r="T24" s="243"/>
      <c r="U24" s="247"/>
    </row>
    <row r="25" spans="1:21">
      <c r="B25" s="242" t="s">
        <v>411</v>
      </c>
      <c r="N25" s="244"/>
      <c r="O25" s="244"/>
      <c r="P25" s="289" t="s">
        <v>355</v>
      </c>
      <c r="T25" s="243"/>
      <c r="U25" s="247"/>
    </row>
    <row r="26" spans="1:21">
      <c r="B26" s="242" t="s">
        <v>130</v>
      </c>
      <c r="N26" s="244"/>
      <c r="O26" s="244"/>
      <c r="P26" s="299" t="s">
        <v>356</v>
      </c>
      <c r="T26" s="243"/>
      <c r="U26" s="247"/>
    </row>
    <row r="27" spans="1:21" ht="16" thickBot="1">
      <c r="N27" s="244"/>
      <c r="O27" s="244"/>
      <c r="P27" s="310" t="s">
        <v>357</v>
      </c>
      <c r="T27" s="243"/>
      <c r="U27" s="245"/>
    </row>
    <row r="28" spans="1:21" ht="17" thickBot="1">
      <c r="A28" s="323" t="s">
        <v>129</v>
      </c>
      <c r="B28" s="234"/>
      <c r="C28" s="262" t="s">
        <v>479</v>
      </c>
      <c r="D28" s="263"/>
      <c r="E28" s="263"/>
      <c r="F28" s="263"/>
      <c r="G28" s="263"/>
      <c r="H28" s="263"/>
      <c r="I28" s="263"/>
      <c r="J28" s="263"/>
      <c r="K28" s="263"/>
      <c r="L28" s="263"/>
      <c r="M28" s="241">
        <v>2</v>
      </c>
      <c r="N28" s="321"/>
      <c r="O28" s="244"/>
      <c r="P28" s="310" t="s">
        <v>358</v>
      </c>
      <c r="T28" s="243"/>
      <c r="U28" s="247"/>
    </row>
    <row r="29" spans="1:21">
      <c r="B29" s="242" t="s">
        <v>410</v>
      </c>
      <c r="N29" s="244"/>
      <c r="P29" s="310" t="s">
        <v>359</v>
      </c>
      <c r="T29" s="243"/>
      <c r="U29" s="247"/>
    </row>
    <row r="30" spans="1:21">
      <c r="B30" s="242" t="s">
        <v>410</v>
      </c>
      <c r="N30" s="244"/>
      <c r="P30" s="310" t="s">
        <v>360</v>
      </c>
      <c r="T30" s="243"/>
      <c r="U30" s="247"/>
    </row>
    <row r="31" spans="1:21">
      <c r="B31" s="242" t="s">
        <v>410</v>
      </c>
      <c r="N31" s="244"/>
      <c r="P31" s="310" t="s">
        <v>361</v>
      </c>
      <c r="T31" s="243"/>
      <c r="U31" s="245"/>
    </row>
    <row r="32" spans="1:21">
      <c r="B32" s="242" t="s">
        <v>411</v>
      </c>
      <c r="N32" s="244"/>
      <c r="P32" s="310" t="s">
        <v>362</v>
      </c>
      <c r="T32" s="244"/>
      <c r="U32" s="248"/>
    </row>
    <row r="33" spans="1:21">
      <c r="B33" s="242" t="s">
        <v>411</v>
      </c>
      <c r="P33" s="310" t="s">
        <v>363</v>
      </c>
      <c r="T33" s="250"/>
      <c r="U33" s="244"/>
    </row>
    <row r="34" spans="1:21">
      <c r="A34" s="244"/>
      <c r="B34" s="242" t="s">
        <v>411</v>
      </c>
      <c r="C34" s="244"/>
      <c r="D34" s="244"/>
      <c r="E34" s="244"/>
      <c r="F34" s="244"/>
      <c r="G34" s="244"/>
      <c r="H34" s="244"/>
      <c r="I34" s="244"/>
      <c r="J34" s="244"/>
      <c r="K34" s="244"/>
      <c r="L34" s="244"/>
      <c r="M34" s="244"/>
      <c r="P34" s="299" t="s">
        <v>364</v>
      </c>
      <c r="T34" s="243"/>
      <c r="U34" s="249"/>
    </row>
    <row r="35" spans="1:21">
      <c r="A35" s="244"/>
      <c r="B35" s="242" t="s">
        <v>130</v>
      </c>
      <c r="C35" s="244"/>
      <c r="D35" s="244"/>
      <c r="E35" s="244"/>
      <c r="F35" s="244"/>
      <c r="G35" s="244"/>
      <c r="H35" s="244"/>
      <c r="I35" s="244"/>
      <c r="J35" s="244"/>
      <c r="K35" s="244"/>
      <c r="L35" s="244"/>
      <c r="M35" s="244"/>
      <c r="P35" s="310" t="s">
        <v>365</v>
      </c>
      <c r="T35" s="243"/>
      <c r="U35" s="245"/>
    </row>
    <row r="36" spans="1:21">
      <c r="A36" s="244"/>
      <c r="B36" s="244"/>
      <c r="C36" s="244"/>
      <c r="D36" s="244"/>
      <c r="E36" s="244"/>
      <c r="F36" s="244"/>
      <c r="G36" s="244"/>
      <c r="H36" s="244"/>
      <c r="I36" s="244"/>
      <c r="J36" s="244"/>
      <c r="K36" s="244"/>
      <c r="L36" s="244"/>
      <c r="M36" s="244"/>
      <c r="P36" s="310" t="s">
        <v>366</v>
      </c>
      <c r="T36" s="243"/>
      <c r="U36" s="247"/>
    </row>
    <row r="37" spans="1:21">
      <c r="A37" s="244"/>
      <c r="B37" s="244"/>
      <c r="C37" s="244"/>
      <c r="D37" s="244"/>
      <c r="E37" s="244"/>
      <c r="F37" s="244"/>
      <c r="G37" s="244"/>
      <c r="H37" s="244"/>
      <c r="I37" s="244"/>
      <c r="J37" s="244"/>
      <c r="K37" s="244"/>
      <c r="L37" s="244"/>
      <c r="M37" s="244"/>
      <c r="P37" s="310" t="s">
        <v>367</v>
      </c>
      <c r="T37" s="243"/>
      <c r="U37" s="245"/>
    </row>
    <row r="38" spans="1:21">
      <c r="A38" s="244"/>
      <c r="B38" s="244"/>
      <c r="C38" s="244"/>
      <c r="D38" s="244"/>
      <c r="E38" s="257"/>
      <c r="F38" s="257"/>
      <c r="G38" s="257"/>
      <c r="H38" s="257"/>
      <c r="I38" s="244"/>
      <c r="J38" s="244"/>
      <c r="K38" s="244"/>
      <c r="L38" s="244"/>
      <c r="M38" s="244"/>
      <c r="P38" s="310" t="s">
        <v>368</v>
      </c>
      <c r="T38" s="244"/>
      <c r="U38" s="247"/>
    </row>
    <row r="39" spans="1:21">
      <c r="A39" s="244"/>
      <c r="B39" s="244"/>
      <c r="C39" s="244"/>
      <c r="D39" s="244"/>
      <c r="E39" s="244"/>
      <c r="F39" s="244"/>
      <c r="G39" s="244"/>
      <c r="H39" s="244"/>
      <c r="I39" s="244"/>
      <c r="J39" s="244"/>
      <c r="K39" s="244"/>
      <c r="L39" s="244"/>
      <c r="M39" s="244"/>
      <c r="P39" s="310" t="s">
        <v>369</v>
      </c>
      <c r="T39" s="250"/>
      <c r="U39" s="244"/>
    </row>
    <row r="40" spans="1:21">
      <c r="P40" s="310" t="s">
        <v>370</v>
      </c>
      <c r="T40" s="243"/>
      <c r="U40" s="249"/>
    </row>
    <row r="41" spans="1:21">
      <c r="P41" s="310" t="s">
        <v>371</v>
      </c>
      <c r="T41" s="243"/>
      <c r="U41" s="249"/>
    </row>
    <row r="42" spans="1:21">
      <c r="P42" s="313" t="s">
        <v>372</v>
      </c>
      <c r="Q42" s="314"/>
      <c r="T42" s="243"/>
      <c r="U42" s="249"/>
    </row>
    <row r="43" spans="1:21">
      <c r="T43" s="243"/>
      <c r="U43" s="249"/>
    </row>
    <row r="44" spans="1:21">
      <c r="T44" s="243"/>
      <c r="U44" s="249"/>
    </row>
    <row r="45" spans="1:21">
      <c r="T45" s="243"/>
      <c r="U45" s="249"/>
    </row>
    <row r="46" spans="1:21">
      <c r="T46" s="244"/>
      <c r="U46" s="249"/>
    </row>
  </sheetData>
  <mergeCells count="1">
    <mergeCell ref="P10:U10"/>
  </mergeCells>
  <dataValidations count="2">
    <dataValidation type="list" allowBlank="1" showInputMessage="1" showErrorMessage="1" sqref="N10 N19 N28" xr:uid="{00000000-0002-0000-1B00-000000000000}">
      <formula1>choix</formula1>
    </dataValidation>
    <dataValidation type="list" allowBlank="1" showInputMessage="1" showErrorMessage="1" sqref="B29:B34 B20:B25 B11:B16" xr:uid="{00000000-0002-0000-1B00-000001000000}">
      <formula1>Choix_capacité</formula1>
    </dataValidation>
  </dataValidation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29">
    <tabColor theme="5"/>
    <pageSetUpPr fitToPage="1"/>
  </sheetPr>
  <dimension ref="A3:AA109"/>
  <sheetViews>
    <sheetView topLeftCell="D41" zoomScale="80" zoomScaleNormal="80" workbookViewId="0">
      <selection activeCell="P5" sqref="P5:AA80"/>
    </sheetView>
  </sheetViews>
  <sheetFormatPr baseColWidth="10" defaultRowHeight="15"/>
  <cols>
    <col min="2" max="2" width="13.6640625" customWidth="1"/>
    <col min="3" max="3" width="15.83203125" customWidth="1"/>
    <col min="12" max="12" width="18.83203125" customWidth="1"/>
    <col min="13" max="14" width="13.5" bestFit="1" customWidth="1"/>
    <col min="15" max="15" width="11.5" style="238"/>
    <col min="16" max="16" width="16.33203125" customWidth="1"/>
    <col min="17" max="17" width="19.5" customWidth="1"/>
    <col min="20" max="20" width="16.1640625" customWidth="1"/>
    <col min="27" max="27" width="17.5" customWidth="1"/>
  </cols>
  <sheetData>
    <row r="3" spans="1:27" ht="16" thickBot="1"/>
    <row r="4" spans="1:27" ht="20" thickBot="1">
      <c r="B4" s="270" t="s">
        <v>113</v>
      </c>
      <c r="C4" s="228" t="s">
        <v>126</v>
      </c>
      <c r="D4" s="229" t="s">
        <v>50</v>
      </c>
      <c r="E4" s="227" t="s">
        <v>49</v>
      </c>
    </row>
    <row r="5" spans="1:27" ht="19">
      <c r="C5" s="230" t="s">
        <v>55</v>
      </c>
      <c r="D5" s="231">
        <v>2</v>
      </c>
      <c r="P5" s="270" t="s">
        <v>113</v>
      </c>
      <c r="Q5" s="228" t="s">
        <v>126</v>
      </c>
      <c r="R5" s="229" t="s">
        <v>50</v>
      </c>
      <c r="S5" s="671" t="s">
        <v>49</v>
      </c>
      <c r="T5" s="983"/>
      <c r="U5" s="983"/>
    </row>
    <row r="6" spans="1:27" ht="16" thickBot="1">
      <c r="C6" s="232" t="s">
        <v>62</v>
      </c>
      <c r="D6" s="261">
        <v>38</v>
      </c>
      <c r="P6" s="983"/>
      <c r="Q6" s="230" t="s">
        <v>55</v>
      </c>
      <c r="R6" s="231">
        <v>2</v>
      </c>
      <c r="S6" s="983"/>
      <c r="T6" s="983"/>
      <c r="U6" s="983"/>
    </row>
    <row r="7" spans="1:27" ht="16" thickBot="1">
      <c r="P7" s="983"/>
      <c r="Q7" s="232" t="s">
        <v>62</v>
      </c>
      <c r="R7" s="986">
        <v>38</v>
      </c>
      <c r="S7" s="983"/>
      <c r="T7" s="983"/>
      <c r="U7" s="983"/>
    </row>
    <row r="8" spans="1:27" ht="49" thickBot="1">
      <c r="M8" s="320" t="s">
        <v>125</v>
      </c>
      <c r="N8" s="320" t="s">
        <v>408</v>
      </c>
    </row>
    <row r="9" spans="1:27" ht="17" thickBot="1">
      <c r="M9" s="251"/>
      <c r="P9" s="1041" t="s">
        <v>567</v>
      </c>
      <c r="Q9" s="1042"/>
      <c r="R9" s="1042"/>
      <c r="S9" s="1042"/>
      <c r="T9" s="1042"/>
      <c r="U9" s="1042"/>
      <c r="V9" s="1042"/>
      <c r="W9" s="1042"/>
      <c r="X9" s="5"/>
      <c r="Y9" s="5"/>
    </row>
    <row r="10" spans="1:27" ht="16" thickBot="1">
      <c r="A10" s="233" t="s">
        <v>127</v>
      </c>
      <c r="B10" s="234"/>
      <c r="C10" s="262" t="s">
        <v>480</v>
      </c>
      <c r="D10" s="263"/>
      <c r="E10" s="263"/>
      <c r="F10" s="263"/>
      <c r="G10" s="263"/>
      <c r="H10" s="263"/>
      <c r="I10" s="263"/>
      <c r="J10" s="263"/>
      <c r="K10" s="264"/>
      <c r="L10" s="239"/>
      <c r="M10" s="374">
        <v>2</v>
      </c>
      <c r="N10" s="321" t="s">
        <v>407</v>
      </c>
      <c r="O10" s="304"/>
      <c r="P10" s="244"/>
      <c r="T10" s="265"/>
      <c r="U10" s="244"/>
      <c r="V10" s="244"/>
      <c r="W10" s="244"/>
      <c r="X10" s="244"/>
      <c r="Y10" s="244"/>
      <c r="Z10" s="266"/>
      <c r="AA10" s="266"/>
    </row>
    <row r="11" spans="1:27" ht="16">
      <c r="A11" s="370" t="s">
        <v>660</v>
      </c>
      <c r="B11" s="244"/>
      <c r="C11" s="390" t="s">
        <v>720</v>
      </c>
      <c r="D11" s="355"/>
      <c r="E11" s="355"/>
      <c r="F11" s="355"/>
      <c r="G11" s="355"/>
      <c r="H11" s="355"/>
      <c r="I11" s="355"/>
      <c r="J11" s="355"/>
      <c r="K11" s="355"/>
      <c r="L11" s="356"/>
      <c r="M11" s="256"/>
      <c r="N11" s="244"/>
      <c r="O11" s="304"/>
      <c r="P11" s="227" t="s">
        <v>176</v>
      </c>
      <c r="T11" s="265"/>
      <c r="U11" s="244"/>
      <c r="V11" s="244"/>
      <c r="W11" s="244"/>
      <c r="X11" s="244"/>
      <c r="Y11" s="244"/>
      <c r="Z11" s="5"/>
      <c r="AA11" s="5"/>
    </row>
    <row r="12" spans="1:27" ht="16">
      <c r="B12" s="242" t="s">
        <v>410</v>
      </c>
      <c r="C12" s="716" t="s">
        <v>706</v>
      </c>
      <c r="M12" s="225"/>
      <c r="O12" s="304"/>
      <c r="P12" s="448" t="s">
        <v>224</v>
      </c>
      <c r="Z12" s="5"/>
      <c r="AA12" s="5"/>
    </row>
    <row r="13" spans="1:27" ht="16">
      <c r="B13" s="242" t="s">
        <v>410</v>
      </c>
      <c r="C13" s="716" t="s">
        <v>723</v>
      </c>
      <c r="M13" s="225"/>
      <c r="O13" s="304"/>
      <c r="P13" s="440" t="s">
        <v>732</v>
      </c>
      <c r="Q13" s="441"/>
      <c r="R13" s="441"/>
      <c r="S13" s="441"/>
      <c r="T13" s="441"/>
      <c r="U13" s="441"/>
      <c r="V13" s="441"/>
      <c r="W13" s="441"/>
      <c r="Z13" s="5"/>
      <c r="AA13" s="5"/>
    </row>
    <row r="14" spans="1:27">
      <c r="B14" s="242" t="s">
        <v>410</v>
      </c>
      <c r="C14" s="716" t="s">
        <v>724</v>
      </c>
      <c r="M14" s="225"/>
      <c r="O14" s="304"/>
      <c r="P14" s="355" t="s">
        <v>480</v>
      </c>
      <c r="Z14" s="5"/>
      <c r="AA14" s="5"/>
    </row>
    <row r="15" spans="1:27" ht="16">
      <c r="B15" s="242" t="s">
        <v>410</v>
      </c>
      <c r="C15" s="716" t="s">
        <v>721</v>
      </c>
      <c r="M15" s="225"/>
      <c r="O15" s="304"/>
      <c r="P15" s="370" t="s">
        <v>660</v>
      </c>
      <c r="R15" s="376" t="s">
        <v>720</v>
      </c>
      <c r="Z15" s="5"/>
      <c r="AA15" s="5"/>
    </row>
    <row r="16" spans="1:27">
      <c r="B16" s="242" t="s">
        <v>411</v>
      </c>
      <c r="C16" s="369" t="s">
        <v>704</v>
      </c>
      <c r="M16" s="225"/>
      <c r="O16" s="304"/>
      <c r="P16" s="425" t="s">
        <v>410</v>
      </c>
      <c r="Q16" s="369" t="s">
        <v>706</v>
      </c>
      <c r="Z16" s="5"/>
      <c r="AA16" s="5"/>
    </row>
    <row r="17" spans="1:27">
      <c r="B17" s="242" t="s">
        <v>411</v>
      </c>
      <c r="C17" s="434" t="s">
        <v>725</v>
      </c>
      <c r="M17" s="225"/>
      <c r="O17" s="304"/>
      <c r="P17" s="425" t="s">
        <v>410</v>
      </c>
      <c r="Q17" s="369" t="s">
        <v>723</v>
      </c>
      <c r="Z17" s="5"/>
      <c r="AA17" s="5"/>
    </row>
    <row r="18" spans="1:27">
      <c r="B18" s="242" t="s">
        <v>130</v>
      </c>
      <c r="C18" s="392" t="s">
        <v>726</v>
      </c>
      <c r="M18" s="225"/>
      <c r="O18" s="304"/>
      <c r="P18" s="425" t="s">
        <v>410</v>
      </c>
      <c r="Q18" s="369" t="s">
        <v>724</v>
      </c>
      <c r="Z18" s="5"/>
      <c r="AA18" s="5"/>
    </row>
    <row r="19" spans="1:27">
      <c r="M19" s="225"/>
      <c r="O19" s="304"/>
      <c r="P19" s="425" t="s">
        <v>410</v>
      </c>
      <c r="Q19" s="369" t="s">
        <v>721</v>
      </c>
      <c r="Z19" s="244"/>
      <c r="AA19" s="244"/>
    </row>
    <row r="20" spans="1:27" ht="16" thickBot="1">
      <c r="O20" s="304"/>
      <c r="P20" s="425" t="s">
        <v>411</v>
      </c>
      <c r="Q20" s="369" t="s">
        <v>704</v>
      </c>
      <c r="Z20" s="244"/>
      <c r="AA20" s="244"/>
    </row>
    <row r="21" spans="1:27" ht="16" thickBot="1">
      <c r="A21" s="233" t="s">
        <v>128</v>
      </c>
      <c r="B21" s="234"/>
      <c r="C21" s="1038" t="s">
        <v>476</v>
      </c>
      <c r="D21" s="1039"/>
      <c r="E21" s="1039"/>
      <c r="F21" s="1039"/>
      <c r="G21" s="1039"/>
      <c r="H21" s="1039"/>
      <c r="I21" s="1039"/>
      <c r="J21" s="1039"/>
      <c r="K21" s="1039"/>
      <c r="L21" s="1040"/>
      <c r="M21" s="241">
        <v>2</v>
      </c>
      <c r="N21" s="321" t="s">
        <v>407</v>
      </c>
      <c r="O21" s="304"/>
      <c r="P21" s="425" t="s">
        <v>411</v>
      </c>
      <c r="Q21" s="434" t="s">
        <v>725</v>
      </c>
    </row>
    <row r="22" spans="1:27" ht="16">
      <c r="A22" s="370" t="s">
        <v>660</v>
      </c>
      <c r="B22" s="244"/>
      <c r="C22" s="390" t="s">
        <v>707</v>
      </c>
      <c r="D22" s="355"/>
      <c r="E22" s="355"/>
      <c r="F22" s="355"/>
      <c r="G22" s="355"/>
      <c r="H22" s="355"/>
      <c r="I22" s="355"/>
      <c r="J22" s="355"/>
      <c r="K22" s="355"/>
      <c r="L22" s="355"/>
      <c r="M22" s="256"/>
      <c r="N22" s="244"/>
      <c r="O22" s="304"/>
      <c r="P22" s="425" t="s">
        <v>130</v>
      </c>
      <c r="Q22" s="392" t="s">
        <v>726</v>
      </c>
    </row>
    <row r="23" spans="1:27">
      <c r="B23" s="242" t="s">
        <v>410</v>
      </c>
      <c r="C23" s="721" t="s">
        <v>708</v>
      </c>
      <c r="M23" s="225"/>
      <c r="O23" s="304"/>
    </row>
    <row r="24" spans="1:27">
      <c r="B24" s="242" t="s">
        <v>410</v>
      </c>
      <c r="C24" s="721" t="s">
        <v>709</v>
      </c>
      <c r="M24" s="225"/>
      <c r="O24" s="304"/>
      <c r="P24" s="1077" t="s">
        <v>64</v>
      </c>
      <c r="Q24" s="1077"/>
      <c r="R24" s="1077"/>
      <c r="S24" s="1077"/>
      <c r="T24" s="1077"/>
      <c r="U24" s="1077"/>
      <c r="V24" s="1077"/>
      <c r="W24" s="1077"/>
      <c r="X24" s="1077"/>
      <c r="Y24" s="1077"/>
    </row>
    <row r="25" spans="1:27" ht="16">
      <c r="B25" s="242" t="s">
        <v>411</v>
      </c>
      <c r="C25" s="434" t="s">
        <v>710</v>
      </c>
      <c r="M25" s="225"/>
      <c r="O25" s="304"/>
      <c r="P25" s="370" t="s">
        <v>660</v>
      </c>
      <c r="Q25" s="244"/>
      <c r="R25" s="376" t="s">
        <v>705</v>
      </c>
    </row>
    <row r="26" spans="1:27">
      <c r="B26" s="242" t="s">
        <v>411</v>
      </c>
      <c r="C26" s="434" t="s">
        <v>711</v>
      </c>
      <c r="M26" s="225"/>
      <c r="O26" s="304"/>
      <c r="P26" s="425" t="s">
        <v>410</v>
      </c>
      <c r="Q26" t="s">
        <v>727</v>
      </c>
    </row>
    <row r="27" spans="1:27">
      <c r="B27" s="242" t="s">
        <v>411</v>
      </c>
      <c r="C27" s="434" t="s">
        <v>712</v>
      </c>
      <c r="M27" s="225"/>
      <c r="O27" s="304"/>
      <c r="P27" s="425" t="s">
        <v>410</v>
      </c>
      <c r="Q27" t="s">
        <v>719</v>
      </c>
    </row>
    <row r="28" spans="1:27">
      <c r="B28" s="242" t="s">
        <v>130</v>
      </c>
      <c r="C28" s="392" t="s">
        <v>718</v>
      </c>
      <c r="M28" s="225"/>
      <c r="O28" s="304"/>
      <c r="P28" s="425" t="s">
        <v>410</v>
      </c>
      <c r="Q28" s="369" t="s">
        <v>722</v>
      </c>
    </row>
    <row r="29" spans="1:27" ht="16" thickBot="1">
      <c r="M29" s="225"/>
      <c r="O29" s="304"/>
      <c r="P29" s="425" t="s">
        <v>411</v>
      </c>
      <c r="Q29" s="369" t="s">
        <v>704</v>
      </c>
    </row>
    <row r="30" spans="1:27" ht="16" thickBot="1">
      <c r="A30" s="233" t="s">
        <v>129</v>
      </c>
      <c r="B30" s="234"/>
      <c r="C30" s="1038" t="s">
        <v>64</v>
      </c>
      <c r="D30" s="1039"/>
      <c r="E30" s="1039"/>
      <c r="F30" s="1039"/>
      <c r="G30" s="1039"/>
      <c r="H30" s="1039"/>
      <c r="I30" s="1039"/>
      <c r="J30" s="1039"/>
      <c r="K30" s="1039"/>
      <c r="L30" s="1039"/>
      <c r="M30" s="241">
        <v>2</v>
      </c>
      <c r="N30" s="321" t="s">
        <v>407</v>
      </c>
      <c r="O30" s="304"/>
      <c r="P30" s="425" t="s">
        <v>411</v>
      </c>
      <c r="Q30" t="s">
        <v>728</v>
      </c>
    </row>
    <row r="31" spans="1:27" ht="16">
      <c r="A31" s="370" t="s">
        <v>660</v>
      </c>
      <c r="B31" s="244"/>
      <c r="C31" s="390" t="s">
        <v>705</v>
      </c>
      <c r="D31" s="355"/>
      <c r="E31" s="355"/>
      <c r="F31" s="355"/>
      <c r="G31" s="355"/>
      <c r="H31" s="355"/>
      <c r="I31" s="355"/>
      <c r="J31" s="355"/>
      <c r="K31" s="355"/>
      <c r="L31" s="355"/>
      <c r="M31" s="256"/>
      <c r="N31" s="244"/>
      <c r="O31" s="304"/>
      <c r="P31" s="425" t="s">
        <v>130</v>
      </c>
      <c r="Q31" s="392" t="s">
        <v>729</v>
      </c>
    </row>
    <row r="32" spans="1:27">
      <c r="B32" s="242" t="s">
        <v>410</v>
      </c>
      <c r="C32" s="715" t="s">
        <v>727</v>
      </c>
      <c r="M32" s="225"/>
      <c r="O32" s="304"/>
    </row>
    <row r="33" spans="1:25" ht="16">
      <c r="B33" s="242" t="s">
        <v>410</v>
      </c>
      <c r="C33" s="715" t="s">
        <v>719</v>
      </c>
      <c r="M33" s="225"/>
      <c r="O33" s="304"/>
      <c r="P33" s="442" t="s">
        <v>733</v>
      </c>
      <c r="Q33" s="441"/>
      <c r="R33" s="441"/>
      <c r="S33" s="441"/>
      <c r="T33" s="441"/>
      <c r="U33" s="441"/>
      <c r="V33" s="441"/>
      <c r="W33" s="441"/>
    </row>
    <row r="34" spans="1:25">
      <c r="B34" s="242" t="s">
        <v>410</v>
      </c>
      <c r="C34" s="716" t="s">
        <v>722</v>
      </c>
      <c r="M34" s="225"/>
      <c r="O34" s="304"/>
      <c r="P34" s="1077" t="s">
        <v>476</v>
      </c>
      <c r="Q34" s="1077"/>
      <c r="R34" s="1077"/>
      <c r="S34" s="1077"/>
      <c r="T34" s="1077"/>
      <c r="U34" s="1077"/>
      <c r="V34" s="1077"/>
      <c r="W34" s="1077"/>
      <c r="X34" s="1077"/>
      <c r="Y34" s="1077"/>
    </row>
    <row r="35" spans="1:25" ht="16">
      <c r="B35" s="242" t="s">
        <v>411</v>
      </c>
      <c r="C35" s="369" t="s">
        <v>704</v>
      </c>
      <c r="M35" s="225"/>
      <c r="O35" s="304"/>
      <c r="P35" s="370" t="s">
        <v>660</v>
      </c>
      <c r="R35" s="376" t="s">
        <v>707</v>
      </c>
    </row>
    <row r="36" spans="1:25">
      <c r="B36" s="242" t="s">
        <v>411</v>
      </c>
      <c r="C36" t="s">
        <v>728</v>
      </c>
      <c r="O36" s="304"/>
      <c r="P36" s="425" t="s">
        <v>410</v>
      </c>
      <c r="Q36" s="434" t="s">
        <v>708</v>
      </c>
    </row>
    <row r="37" spans="1:25">
      <c r="B37" s="242" t="s">
        <v>130</v>
      </c>
      <c r="C37" s="392" t="s">
        <v>729</v>
      </c>
      <c r="O37" s="304"/>
      <c r="P37" s="425" t="s">
        <v>410</v>
      </c>
      <c r="Q37" s="434" t="s">
        <v>709</v>
      </c>
    </row>
    <row r="38" spans="1:25">
      <c r="O38" s="304"/>
      <c r="P38" s="425" t="s">
        <v>411</v>
      </c>
      <c r="Q38" s="434" t="s">
        <v>710</v>
      </c>
    </row>
    <row r="39" spans="1:25" ht="16">
      <c r="A39" s="370" t="s">
        <v>660</v>
      </c>
      <c r="B39" s="244"/>
      <c r="C39" s="390" t="s">
        <v>713</v>
      </c>
      <c r="F39" s="355"/>
      <c r="G39" s="355"/>
      <c r="H39" s="355"/>
      <c r="I39" s="355"/>
      <c r="J39" s="355"/>
      <c r="K39" s="355"/>
      <c r="L39" s="355"/>
      <c r="M39" s="256"/>
      <c r="N39" s="244"/>
      <c r="O39" s="304"/>
      <c r="P39" s="425" t="s">
        <v>411</v>
      </c>
      <c r="Q39" s="434" t="s">
        <v>711</v>
      </c>
    </row>
    <row r="40" spans="1:25">
      <c r="B40" s="242" t="s">
        <v>410</v>
      </c>
      <c r="C40" s="715" t="s">
        <v>714</v>
      </c>
      <c r="D40" s="355"/>
      <c r="E40" s="355"/>
      <c r="M40" s="225"/>
      <c r="O40" s="304"/>
      <c r="P40" s="425" t="s">
        <v>411</v>
      </c>
      <c r="Q40" s="434" t="s">
        <v>712</v>
      </c>
    </row>
    <row r="41" spans="1:25">
      <c r="B41" s="242" t="s">
        <v>411</v>
      </c>
      <c r="C41" t="s">
        <v>715</v>
      </c>
      <c r="M41" s="225"/>
      <c r="O41" s="304"/>
      <c r="P41" s="425" t="s">
        <v>130</v>
      </c>
      <c r="Q41" s="392" t="s">
        <v>718</v>
      </c>
    </row>
    <row r="42" spans="1:25">
      <c r="B42" s="242" t="s">
        <v>411</v>
      </c>
      <c r="C42" t="s">
        <v>716</v>
      </c>
      <c r="M42" s="225"/>
      <c r="O42" s="304"/>
    </row>
    <row r="43" spans="1:25">
      <c r="B43" s="242" t="s">
        <v>130</v>
      </c>
      <c r="C43" s="242" t="s">
        <v>717</v>
      </c>
      <c r="M43" s="225"/>
      <c r="O43" s="304"/>
      <c r="P43" s="1077" t="s">
        <v>64</v>
      </c>
      <c r="Q43" s="1077"/>
      <c r="R43" s="1077"/>
      <c r="S43" s="1077"/>
      <c r="T43" s="1077"/>
      <c r="U43" s="1077"/>
      <c r="V43" s="1077"/>
      <c r="W43" s="1077"/>
      <c r="X43" s="1077"/>
      <c r="Y43" s="1077"/>
    </row>
    <row r="44" spans="1:25" ht="16">
      <c r="O44" s="304"/>
      <c r="P44" s="370" t="s">
        <v>660</v>
      </c>
      <c r="R44" s="376" t="s">
        <v>713</v>
      </c>
    </row>
    <row r="45" spans="1:25">
      <c r="O45" s="304"/>
      <c r="P45" s="425" t="s">
        <v>410</v>
      </c>
      <c r="Q45" t="s">
        <v>714</v>
      </c>
    </row>
    <row r="46" spans="1:25">
      <c r="B46" s="242"/>
      <c r="O46" s="304"/>
      <c r="P46" s="425" t="s">
        <v>411</v>
      </c>
      <c r="Q46" t="s">
        <v>715</v>
      </c>
    </row>
    <row r="47" spans="1:25">
      <c r="O47" s="304"/>
      <c r="P47" s="425" t="s">
        <v>411</v>
      </c>
      <c r="Q47" t="s">
        <v>716</v>
      </c>
    </row>
    <row r="48" spans="1:25">
      <c r="B48" s="242"/>
      <c r="O48" s="304"/>
      <c r="P48" s="425" t="s">
        <v>130</v>
      </c>
      <c r="Q48" s="242" t="s">
        <v>717</v>
      </c>
    </row>
    <row r="49" spans="15:16">
      <c r="O49" s="304"/>
    </row>
    <row r="50" spans="15:16" ht="16">
      <c r="O50" s="304"/>
      <c r="P50" s="448" t="s">
        <v>186</v>
      </c>
    </row>
    <row r="51" spans="15:16">
      <c r="O51" s="304"/>
      <c r="P51" s="227" t="s">
        <v>374</v>
      </c>
    </row>
    <row r="52" spans="15:16">
      <c r="O52" s="304"/>
      <c r="P52" s="286" t="s">
        <v>375</v>
      </c>
    </row>
    <row r="53" spans="15:16">
      <c r="O53" s="304"/>
      <c r="P53" s="439" t="s">
        <v>381</v>
      </c>
    </row>
    <row r="54" spans="15:16">
      <c r="O54" s="304"/>
      <c r="P54" s="439" t="s">
        <v>379</v>
      </c>
    </row>
    <row r="55" spans="15:16">
      <c r="O55" s="304"/>
      <c r="P55" s="439" t="s">
        <v>380</v>
      </c>
    </row>
    <row r="56" spans="15:16">
      <c r="O56" s="304"/>
      <c r="P56" s="439" t="s">
        <v>376</v>
      </c>
    </row>
    <row r="57" spans="15:16">
      <c r="O57" s="304"/>
      <c r="P57" s="439" t="s">
        <v>382</v>
      </c>
    </row>
    <row r="58" spans="15:16">
      <c r="O58" s="304"/>
      <c r="P58" s="286" t="s">
        <v>377</v>
      </c>
    </row>
    <row r="59" spans="15:16">
      <c r="O59" s="304"/>
      <c r="P59" s="439" t="s">
        <v>383</v>
      </c>
    </row>
    <row r="60" spans="15:16">
      <c r="O60" s="304"/>
      <c r="P60" s="439" t="s">
        <v>730</v>
      </c>
    </row>
    <row r="61" spans="15:16">
      <c r="O61" s="304"/>
      <c r="P61" s="439" t="s">
        <v>378</v>
      </c>
    </row>
    <row r="62" spans="15:16">
      <c r="O62" s="304"/>
      <c r="P62" s="227" t="s">
        <v>373</v>
      </c>
    </row>
    <row r="63" spans="15:16">
      <c r="O63" s="304"/>
      <c r="P63" s="444" t="s">
        <v>734</v>
      </c>
    </row>
    <row r="64" spans="15:16">
      <c r="O64" s="304"/>
      <c r="P64" s="445" t="s">
        <v>735</v>
      </c>
    </row>
    <row r="65" spans="15:16">
      <c r="O65" s="304"/>
      <c r="P65" s="445" t="s">
        <v>736</v>
      </c>
    </row>
    <row r="66" spans="15:16">
      <c r="O66" s="304"/>
      <c r="P66" s="445" t="s">
        <v>716</v>
      </c>
    </row>
    <row r="67" spans="15:16">
      <c r="O67" s="304"/>
      <c r="P67" s="445" t="s">
        <v>737</v>
      </c>
    </row>
    <row r="68" spans="15:16">
      <c r="O68" s="304"/>
      <c r="P68" s="444" t="s">
        <v>738</v>
      </c>
    </row>
    <row r="69" spans="15:16">
      <c r="O69" s="304"/>
      <c r="P69" s="445" t="s">
        <v>739</v>
      </c>
    </row>
    <row r="70" spans="15:16">
      <c r="O70" s="304"/>
      <c r="P70" s="445" t="s">
        <v>740</v>
      </c>
    </row>
    <row r="71" spans="15:16">
      <c r="O71" s="304"/>
      <c r="P71" s="445" t="s">
        <v>741</v>
      </c>
    </row>
    <row r="72" spans="15:16">
      <c r="O72" s="304"/>
      <c r="P72" s="445" t="s">
        <v>742</v>
      </c>
    </row>
    <row r="73" spans="15:16">
      <c r="O73" s="304"/>
      <c r="P73" s="445" t="s">
        <v>743</v>
      </c>
    </row>
    <row r="74" spans="15:16">
      <c r="O74" s="304"/>
      <c r="P74" s="445" t="s">
        <v>744</v>
      </c>
    </row>
    <row r="75" spans="15:16">
      <c r="O75" s="304"/>
      <c r="P75" s="445" t="s">
        <v>745</v>
      </c>
    </row>
    <row r="76" spans="15:16">
      <c r="O76" s="304"/>
      <c r="P76" s="445" t="s">
        <v>746</v>
      </c>
    </row>
    <row r="77" spans="15:16">
      <c r="O77" s="304"/>
      <c r="P77" s="444" t="s">
        <v>747</v>
      </c>
    </row>
    <row r="78" spans="15:16">
      <c r="O78" s="304"/>
      <c r="P78" s="445" t="s">
        <v>748</v>
      </c>
    </row>
    <row r="79" spans="15:16">
      <c r="O79" s="304"/>
      <c r="P79" s="445" t="s">
        <v>749</v>
      </c>
    </row>
    <row r="80" spans="15:16">
      <c r="O80" s="304"/>
      <c r="P80" s="445" t="s">
        <v>750</v>
      </c>
    </row>
    <row r="81" spans="15:16">
      <c r="O81" s="304"/>
    </row>
    <row r="82" spans="15:16">
      <c r="O82" s="304"/>
    </row>
    <row r="83" spans="15:16">
      <c r="O83" s="304"/>
    </row>
    <row r="86" spans="15:16" ht="19">
      <c r="P86" s="443"/>
    </row>
    <row r="87" spans="15:16" ht="19">
      <c r="P87" s="443"/>
    </row>
    <row r="88" spans="15:16" ht="19">
      <c r="P88" s="443"/>
    </row>
    <row r="89" spans="15:16" ht="19">
      <c r="P89" s="443"/>
    </row>
    <row r="90" spans="15:16" ht="19">
      <c r="P90" s="443"/>
    </row>
    <row r="91" spans="15:16" ht="19">
      <c r="P91" s="443"/>
    </row>
    <row r="92" spans="15:16" ht="19">
      <c r="P92" s="443"/>
    </row>
    <row r="93" spans="15:16" ht="19">
      <c r="P93" s="443"/>
    </row>
    <row r="95" spans="15:16" ht="19">
      <c r="P95" s="443"/>
    </row>
    <row r="97" spans="16:16" ht="19">
      <c r="P97" s="443"/>
    </row>
    <row r="99" spans="16:16" ht="19">
      <c r="P99" s="443"/>
    </row>
    <row r="101" spans="16:16" ht="19">
      <c r="P101" s="443"/>
    </row>
    <row r="103" spans="16:16" ht="19">
      <c r="P103" s="443"/>
    </row>
    <row r="105" spans="16:16" ht="19">
      <c r="P105" s="443"/>
    </row>
    <row r="107" spans="16:16" ht="19">
      <c r="P107" s="443"/>
    </row>
    <row r="109" spans="16:16" ht="19">
      <c r="P109" s="443"/>
    </row>
  </sheetData>
  <mergeCells count="6">
    <mergeCell ref="P34:Y34"/>
    <mergeCell ref="P43:Y43"/>
    <mergeCell ref="P9:W9"/>
    <mergeCell ref="C30:L30"/>
    <mergeCell ref="C21:L21"/>
    <mergeCell ref="P24:Y24"/>
  </mergeCells>
  <dataValidations count="2">
    <dataValidation type="list" allowBlank="1" showInputMessage="1" showErrorMessage="1" sqref="N30:N31 N10:N11 N21:N22 N39" xr:uid="{00000000-0002-0000-1C00-000000000000}">
      <formula1>choix</formula1>
    </dataValidation>
    <dataValidation type="list" allowBlank="1" showInputMessage="1" showErrorMessage="1" sqref="B46 B32:B36 P16:P21 P26:P30 P36:P40 P45:P47 B40:B42 B12:B17 B23:B27" xr:uid="{00000000-0002-0000-1C00-000001000000}">
      <formula1>Choix_capacité</formula1>
    </dataValidation>
  </dataValidations>
  <pageMargins left="0.7" right="0.7" top="0.75" bottom="0.75" header="0.3" footer="0.3"/>
  <pageSetup paperSize="9" scale="27" orientation="portrait" verticalDpi="0"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0">
    <tabColor theme="6"/>
  </sheetPr>
  <dimension ref="A3:O58"/>
  <sheetViews>
    <sheetView topLeftCell="A10" zoomScale="80" zoomScaleNormal="80" workbookViewId="0">
      <selection activeCell="K33" sqref="K33"/>
    </sheetView>
  </sheetViews>
  <sheetFormatPr baseColWidth="10" defaultRowHeight="15"/>
  <cols>
    <col min="2" max="2" width="13.6640625" customWidth="1"/>
    <col min="3" max="3" width="15.6640625" customWidth="1"/>
    <col min="11" max="12" width="13.5" bestFit="1" customWidth="1"/>
    <col min="13" max="13" width="11.5" style="238"/>
    <col min="18" max="18" width="16.1640625" customWidth="1"/>
    <col min="25" max="25" width="17.5" customWidth="1"/>
  </cols>
  <sheetData>
    <row r="3" spans="1:15" ht="16" thickBot="1"/>
    <row r="4" spans="1:15" ht="19">
      <c r="B4" s="271" t="s">
        <v>175</v>
      </c>
      <c r="C4" s="228" t="s">
        <v>126</v>
      </c>
      <c r="D4" s="229" t="s">
        <v>97</v>
      </c>
      <c r="E4" s="227" t="s">
        <v>96</v>
      </c>
    </row>
    <row r="5" spans="1:15">
      <c r="C5" s="230" t="s">
        <v>55</v>
      </c>
      <c r="D5" s="231">
        <v>2</v>
      </c>
    </row>
    <row r="6" spans="1:15" ht="16" thickBot="1">
      <c r="C6" s="232" t="s">
        <v>62</v>
      </c>
      <c r="D6" s="261">
        <v>16</v>
      </c>
    </row>
    <row r="7" spans="1:15" ht="16" thickBot="1">
      <c r="M7"/>
    </row>
    <row r="8" spans="1:15" ht="49" thickBot="1">
      <c r="A8" s="283" t="s">
        <v>79</v>
      </c>
      <c r="K8" s="320" t="s">
        <v>125</v>
      </c>
      <c r="L8" s="320" t="s">
        <v>408</v>
      </c>
      <c r="M8"/>
    </row>
    <row r="9" spans="1:15" ht="16" thickBot="1">
      <c r="M9"/>
      <c r="N9" s="297" t="s">
        <v>183</v>
      </c>
      <c r="O9" s="294"/>
    </row>
    <row r="10" spans="1:15" ht="20" thickBot="1">
      <c r="A10" s="323" t="s">
        <v>127</v>
      </c>
      <c r="B10" s="234"/>
      <c r="C10" s="262" t="s">
        <v>90</v>
      </c>
      <c r="D10" s="263"/>
      <c r="E10" s="263"/>
      <c r="F10" s="263"/>
      <c r="G10" s="263"/>
      <c r="H10" s="263"/>
      <c r="I10" s="263"/>
      <c r="J10" s="239"/>
      <c r="K10" s="284" t="s">
        <v>174</v>
      </c>
      <c r="L10" s="321"/>
      <c r="M10"/>
      <c r="N10" s="289"/>
    </row>
    <row r="11" spans="1:15">
      <c r="B11" s="242" t="s">
        <v>410</v>
      </c>
      <c r="C11" s="226"/>
      <c r="K11" s="225"/>
      <c r="M11"/>
      <c r="N11" s="288" t="s">
        <v>176</v>
      </c>
    </row>
    <row r="12" spans="1:15">
      <c r="B12" s="242" t="s">
        <v>410</v>
      </c>
      <c r="C12" s="226"/>
      <c r="K12" s="225"/>
      <c r="M12"/>
      <c r="N12" s="289" t="s">
        <v>224</v>
      </c>
    </row>
    <row r="13" spans="1:15">
      <c r="B13" s="242" t="s">
        <v>410</v>
      </c>
      <c r="C13" s="226"/>
      <c r="K13" s="225"/>
      <c r="M13"/>
      <c r="N13" s="290" t="s">
        <v>384</v>
      </c>
    </row>
    <row r="14" spans="1:15">
      <c r="B14" s="242" t="s">
        <v>411</v>
      </c>
      <c r="C14" s="226"/>
      <c r="K14" s="225"/>
      <c r="M14"/>
      <c r="N14" s="290" t="s">
        <v>385</v>
      </c>
    </row>
    <row r="15" spans="1:15">
      <c r="B15" s="242" t="s">
        <v>411</v>
      </c>
      <c r="K15" s="225"/>
      <c r="M15"/>
      <c r="N15" s="300" t="s">
        <v>202</v>
      </c>
    </row>
    <row r="16" spans="1:15">
      <c r="B16" s="242" t="s">
        <v>411</v>
      </c>
      <c r="K16" s="225"/>
      <c r="M16"/>
      <c r="N16" s="290" t="s">
        <v>386</v>
      </c>
    </row>
    <row r="17" spans="1:14">
      <c r="B17" s="242" t="s">
        <v>130</v>
      </c>
      <c r="K17" s="225"/>
      <c r="M17"/>
      <c r="N17" s="290" t="s">
        <v>387</v>
      </c>
    </row>
    <row r="18" spans="1:14" ht="16" thickBot="1">
      <c r="K18" s="225"/>
      <c r="M18"/>
      <c r="N18" s="289"/>
    </row>
    <row r="19" spans="1:14" ht="20" thickBot="1">
      <c r="A19" s="323" t="s">
        <v>128</v>
      </c>
      <c r="B19" s="234"/>
      <c r="C19" s="1038" t="s">
        <v>93</v>
      </c>
      <c r="D19" s="1039"/>
      <c r="E19" s="1039"/>
      <c r="F19" s="1039"/>
      <c r="G19" s="1039"/>
      <c r="H19" s="1039"/>
      <c r="I19" s="1039"/>
      <c r="J19" s="1039"/>
      <c r="K19" s="284" t="s">
        <v>174</v>
      </c>
      <c r="L19" s="321"/>
      <c r="M19"/>
      <c r="N19" s="288" t="s">
        <v>186</v>
      </c>
    </row>
    <row r="20" spans="1:14">
      <c r="B20" s="242" t="s">
        <v>410</v>
      </c>
      <c r="K20" s="225"/>
      <c r="M20"/>
      <c r="N20" s="289" t="s">
        <v>388</v>
      </c>
    </row>
    <row r="21" spans="1:14">
      <c r="B21" s="242" t="s">
        <v>410</v>
      </c>
      <c r="K21" s="225"/>
      <c r="M21"/>
      <c r="N21" s="289" t="s">
        <v>389</v>
      </c>
    </row>
    <row r="22" spans="1:14">
      <c r="B22" s="242" t="s">
        <v>410</v>
      </c>
      <c r="K22" s="225"/>
      <c r="M22"/>
      <c r="N22" s="289" t="s">
        <v>390</v>
      </c>
    </row>
    <row r="23" spans="1:14">
      <c r="B23" s="242" t="s">
        <v>411</v>
      </c>
      <c r="K23" s="225"/>
      <c r="M23"/>
      <c r="N23" s="290" t="s">
        <v>391</v>
      </c>
    </row>
    <row r="24" spans="1:14">
      <c r="B24" s="242" t="s">
        <v>411</v>
      </c>
      <c r="M24"/>
      <c r="N24" s="290" t="s">
        <v>392</v>
      </c>
    </row>
    <row r="25" spans="1:14">
      <c r="B25" s="242" t="s">
        <v>411</v>
      </c>
      <c r="M25"/>
      <c r="N25" s="290" t="s">
        <v>393</v>
      </c>
    </row>
    <row r="26" spans="1:14">
      <c r="B26" s="242" t="s">
        <v>130</v>
      </c>
      <c r="M26"/>
      <c r="N26" s="289" t="s">
        <v>394</v>
      </c>
    </row>
    <row r="27" spans="1:14" ht="16" thickBot="1">
      <c r="M27"/>
      <c r="N27" s="290" t="s">
        <v>395</v>
      </c>
    </row>
    <row r="28" spans="1:14" ht="20" thickBot="1">
      <c r="A28" s="323" t="s">
        <v>129</v>
      </c>
      <c r="B28" s="234"/>
      <c r="C28" s="1038" t="s">
        <v>65</v>
      </c>
      <c r="D28" s="1039"/>
      <c r="E28" s="1039"/>
      <c r="F28" s="1039"/>
      <c r="G28" s="1039"/>
      <c r="H28" s="1039"/>
      <c r="I28" s="1039"/>
      <c r="J28" s="1039"/>
      <c r="K28" s="284" t="s">
        <v>174</v>
      </c>
      <c r="L28" s="321"/>
      <c r="M28"/>
      <c r="N28" s="290" t="s">
        <v>396</v>
      </c>
    </row>
    <row r="29" spans="1:14">
      <c r="B29" s="242" t="s">
        <v>410</v>
      </c>
      <c r="K29" s="225"/>
      <c r="M29"/>
      <c r="N29" s="290" t="s">
        <v>397</v>
      </c>
    </row>
    <row r="30" spans="1:14">
      <c r="B30" s="242" t="s">
        <v>410</v>
      </c>
      <c r="K30" s="225"/>
      <c r="M30"/>
      <c r="N30" s="290" t="s">
        <v>398</v>
      </c>
    </row>
    <row r="31" spans="1:14">
      <c r="B31" s="242" t="s">
        <v>410</v>
      </c>
      <c r="K31" s="225"/>
      <c r="M31"/>
      <c r="N31" s="289" t="s">
        <v>399</v>
      </c>
    </row>
    <row r="32" spans="1:14">
      <c r="B32" s="242" t="s">
        <v>411</v>
      </c>
      <c r="K32" s="225"/>
      <c r="M32"/>
      <c r="N32" s="290" t="s">
        <v>341</v>
      </c>
    </row>
    <row r="33" spans="1:14">
      <c r="B33" s="242" t="s">
        <v>411</v>
      </c>
      <c r="N33" s="290" t="s">
        <v>400</v>
      </c>
    </row>
    <row r="34" spans="1:14">
      <c r="B34" s="242" t="s">
        <v>411</v>
      </c>
      <c r="N34" s="290" t="s">
        <v>401</v>
      </c>
    </row>
    <row r="35" spans="1:14">
      <c r="B35" s="242" t="s">
        <v>130</v>
      </c>
      <c r="N35" s="290" t="s">
        <v>402</v>
      </c>
    </row>
    <row r="36" spans="1:14">
      <c r="N36" s="289" t="s">
        <v>403</v>
      </c>
    </row>
    <row r="37" spans="1:14">
      <c r="A37" s="283" t="s">
        <v>78</v>
      </c>
      <c r="N37" s="290" t="s">
        <v>404</v>
      </c>
    </row>
    <row r="38" spans="1:14" ht="16" thickBot="1">
      <c r="N38" s="290" t="s">
        <v>405</v>
      </c>
    </row>
    <row r="39" spans="1:14" ht="20" thickBot="1">
      <c r="A39" s="323" t="s">
        <v>140</v>
      </c>
      <c r="B39" s="234"/>
      <c r="C39" s="1038" t="s">
        <v>94</v>
      </c>
      <c r="D39" s="1039"/>
      <c r="E39" s="1039"/>
      <c r="F39" s="1039"/>
      <c r="G39" s="1039"/>
      <c r="H39" s="1039"/>
      <c r="I39" s="1039"/>
      <c r="J39" s="1039"/>
      <c r="K39" s="284" t="s">
        <v>174</v>
      </c>
      <c r="L39" s="321"/>
      <c r="N39" s="290" t="s">
        <v>406</v>
      </c>
    </row>
    <row r="40" spans="1:14">
      <c r="B40" s="242" t="s">
        <v>410</v>
      </c>
      <c r="K40" s="225"/>
    </row>
    <row r="41" spans="1:14">
      <c r="B41" s="242" t="s">
        <v>410</v>
      </c>
      <c r="K41" s="225"/>
    </row>
    <row r="42" spans="1:14">
      <c r="B42" s="242" t="s">
        <v>410</v>
      </c>
      <c r="K42" s="225"/>
    </row>
    <row r="43" spans="1:14">
      <c r="B43" s="242" t="s">
        <v>411</v>
      </c>
      <c r="K43" s="225"/>
    </row>
    <row r="44" spans="1:14">
      <c r="B44" s="242" t="s">
        <v>411</v>
      </c>
    </row>
    <row r="45" spans="1:14">
      <c r="B45" s="242" t="s">
        <v>411</v>
      </c>
    </row>
    <row r="46" spans="1:14">
      <c r="B46" s="242" t="s">
        <v>130</v>
      </c>
    </row>
    <row r="47" spans="1:14" ht="16" thickBot="1"/>
    <row r="48" spans="1:14" ht="20" thickBot="1">
      <c r="A48" s="323" t="s">
        <v>141</v>
      </c>
      <c r="B48" s="234"/>
      <c r="C48" s="1038" t="s">
        <v>95</v>
      </c>
      <c r="D48" s="1039"/>
      <c r="E48" s="1039"/>
      <c r="F48" s="1039"/>
      <c r="G48" s="1039"/>
      <c r="H48" s="1039"/>
      <c r="I48" s="1039"/>
      <c r="J48" s="1039"/>
      <c r="K48" s="284" t="s">
        <v>174</v>
      </c>
      <c r="L48" s="321"/>
    </row>
    <row r="49" spans="1:11">
      <c r="B49" s="242" t="s">
        <v>410</v>
      </c>
      <c r="K49" s="225"/>
    </row>
    <row r="50" spans="1:11">
      <c r="B50" s="242" t="s">
        <v>410</v>
      </c>
      <c r="K50" s="225"/>
    </row>
    <row r="51" spans="1:11">
      <c r="B51" s="242" t="s">
        <v>410</v>
      </c>
      <c r="K51" s="225"/>
    </row>
    <row r="52" spans="1:11">
      <c r="B52" s="242" t="s">
        <v>411</v>
      </c>
    </row>
    <row r="53" spans="1:11">
      <c r="B53" s="242" t="s">
        <v>411</v>
      </c>
    </row>
    <row r="54" spans="1:11">
      <c r="B54" s="242" t="s">
        <v>411</v>
      </c>
    </row>
    <row r="55" spans="1:11">
      <c r="B55" s="242" t="s">
        <v>130</v>
      </c>
    </row>
    <row r="58" spans="1:11">
      <c r="A58" s="179" t="s">
        <v>82</v>
      </c>
    </row>
  </sheetData>
  <mergeCells count="4">
    <mergeCell ref="C48:J48"/>
    <mergeCell ref="C19:J19"/>
    <mergeCell ref="C28:J28"/>
    <mergeCell ref="C39:J39"/>
  </mergeCells>
  <dataValidations count="2">
    <dataValidation type="list" allowBlank="1" showInputMessage="1" showErrorMessage="1" sqref="L10 L19 L28 L39 L48" xr:uid="{00000000-0002-0000-1D00-000000000000}">
      <formula1>choix</formula1>
    </dataValidation>
    <dataValidation type="list" allowBlank="1" showInputMessage="1" showErrorMessage="1" sqref="B11:B16 B20:B25 B29:B34 B40:B45 B49:B54" xr:uid="{00000000-0002-0000-1D00-000001000000}">
      <formula1>Choix_capacité</formula1>
    </dataValidation>
  </dataValidations>
  <pageMargins left="0.7" right="0.7" top="0.75" bottom="0.75"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1">
    <tabColor theme="7"/>
  </sheetPr>
  <dimension ref="A3:AC79"/>
  <sheetViews>
    <sheetView zoomScale="80" zoomScaleNormal="80" workbookViewId="0">
      <selection activeCell="G24" sqref="G24"/>
    </sheetView>
  </sheetViews>
  <sheetFormatPr baseColWidth="10" defaultRowHeight="15"/>
  <cols>
    <col min="2" max="2" width="13.6640625" customWidth="1"/>
    <col min="3" max="3" width="15" customWidth="1"/>
    <col min="12" max="12" width="18.5" customWidth="1"/>
    <col min="13" max="14" width="13.5" bestFit="1" customWidth="1"/>
    <col min="17" max="17" width="11.5" style="238"/>
    <col min="22" max="22" width="18.33203125" customWidth="1"/>
    <col min="29" max="29" width="17.5" customWidth="1"/>
  </cols>
  <sheetData>
    <row r="3" spans="1:29" ht="16" thickBot="1"/>
    <row r="4" spans="1:29" ht="19">
      <c r="B4" s="327" t="s">
        <v>115</v>
      </c>
      <c r="C4" s="228" t="s">
        <v>126</v>
      </c>
      <c r="D4" s="229" t="s">
        <v>68</v>
      </c>
      <c r="E4" s="242" t="s">
        <v>412</v>
      </c>
    </row>
    <row r="5" spans="1:29">
      <c r="C5" s="230" t="s">
        <v>55</v>
      </c>
      <c r="D5" s="231">
        <v>12</v>
      </c>
    </row>
    <row r="6" spans="1:29" ht="16" thickBot="1">
      <c r="C6" s="232" t="s">
        <v>62</v>
      </c>
      <c r="D6" s="315">
        <v>180</v>
      </c>
    </row>
    <row r="7" spans="1:29" ht="49" thickBot="1">
      <c r="M7" s="320" t="s">
        <v>125</v>
      </c>
      <c r="N7" s="320" t="s">
        <v>408</v>
      </c>
      <c r="O7" s="244"/>
      <c r="P7" s="277"/>
    </row>
    <row r="8" spans="1:29" ht="16">
      <c r="A8" s="415" t="s">
        <v>67</v>
      </c>
      <c r="O8" s="329"/>
      <c r="P8" s="1041" t="s">
        <v>567</v>
      </c>
      <c r="Q8" s="1042"/>
      <c r="R8" s="1042"/>
      <c r="S8" s="1042"/>
      <c r="T8" s="1042"/>
      <c r="U8" s="1042"/>
      <c r="V8" s="1042"/>
      <c r="W8" s="1042"/>
      <c r="X8" s="266"/>
      <c r="Y8" s="266"/>
      <c r="Z8" s="266"/>
      <c r="AA8" s="266"/>
      <c r="AB8" s="266"/>
      <c r="AC8" s="266"/>
    </row>
    <row r="9" spans="1:29" ht="16" thickBot="1">
      <c r="M9" s="225"/>
      <c r="N9" s="225"/>
      <c r="O9" s="292"/>
      <c r="P9" s="244"/>
      <c r="Q9" s="267"/>
      <c r="R9" s="267"/>
      <c r="S9" s="267"/>
      <c r="T9" s="267"/>
      <c r="U9" s="267"/>
      <c r="V9" s="267"/>
      <c r="X9" s="5"/>
      <c r="Y9" s="5"/>
      <c r="Z9" s="5"/>
      <c r="AA9" s="5"/>
      <c r="AB9" s="5"/>
      <c r="AC9" s="5"/>
    </row>
    <row r="10" spans="1:29" ht="17" thickBot="1">
      <c r="A10" s="323" t="s">
        <v>127</v>
      </c>
      <c r="B10" s="234"/>
      <c r="C10" s="1038" t="s">
        <v>476</v>
      </c>
      <c r="D10" s="1039"/>
      <c r="E10" s="1039"/>
      <c r="F10" s="1039"/>
      <c r="G10" s="1039"/>
      <c r="H10" s="1039"/>
      <c r="I10" s="1039"/>
      <c r="J10" s="1039"/>
      <c r="K10" s="1039"/>
      <c r="L10" s="1039"/>
      <c r="M10" s="241">
        <v>3</v>
      </c>
      <c r="N10" s="321" t="s">
        <v>407</v>
      </c>
      <c r="O10" s="292"/>
      <c r="P10" s="413" t="s">
        <v>176</v>
      </c>
      <c r="Q10" s="275"/>
      <c r="R10" s="244"/>
      <c r="S10" s="244"/>
      <c r="T10" s="244"/>
      <c r="U10" s="244"/>
      <c r="V10" s="244"/>
      <c r="X10" s="5"/>
      <c r="Y10" s="5"/>
      <c r="Z10" s="5"/>
      <c r="AA10" s="5"/>
      <c r="AB10" s="5"/>
      <c r="AC10" s="5"/>
    </row>
    <row r="11" spans="1:29" ht="16">
      <c r="A11" s="395" t="s">
        <v>488</v>
      </c>
      <c r="B11" s="396"/>
      <c r="C11" s="390" t="s">
        <v>604</v>
      </c>
      <c r="M11" s="225"/>
      <c r="N11" s="225"/>
      <c r="O11" s="292"/>
      <c r="P11" s="227" t="str">
        <f>C11</f>
        <v>Mettre en œuvre des matériaux couplés pour la conversion d'énergie</v>
      </c>
      <c r="Q11" s="275"/>
      <c r="R11" s="244"/>
      <c r="S11" s="244"/>
      <c r="T11" s="244"/>
      <c r="U11" s="244"/>
      <c r="V11" s="244"/>
      <c r="X11" s="5"/>
      <c r="Y11" s="5"/>
      <c r="Z11" s="5"/>
      <c r="AA11" s="5"/>
      <c r="AB11" s="5"/>
      <c r="AC11" s="5"/>
    </row>
    <row r="12" spans="1:29">
      <c r="B12" s="242" t="s">
        <v>410</v>
      </c>
      <c r="C12" s="715" t="s">
        <v>605</v>
      </c>
      <c r="M12" s="225"/>
      <c r="N12" s="225"/>
      <c r="O12" s="292"/>
      <c r="P12" s="286" t="str">
        <f>"CAPACITES : "&amp;C12&amp;", "&amp;C13&amp;", "&amp;C14</f>
        <v>CAPACITES : Mettre en place une loi de comportement, Modéliser un élément et un système électroactifs, Choisir une batterie ou un matériau électro-actif pour une application donnée</v>
      </c>
      <c r="Q12" s="275"/>
      <c r="R12" s="244"/>
      <c r="S12" s="244"/>
      <c r="T12" s="244"/>
      <c r="U12" s="244"/>
      <c r="V12" s="244"/>
      <c r="W12" s="268"/>
      <c r="X12" s="5"/>
      <c r="Y12" s="5"/>
      <c r="Z12" s="5"/>
      <c r="AA12" s="5"/>
      <c r="AB12" s="5"/>
      <c r="AC12" s="5"/>
    </row>
    <row r="13" spans="1:29">
      <c r="B13" s="242" t="s">
        <v>410</v>
      </c>
      <c r="C13" s="715" t="s">
        <v>609</v>
      </c>
      <c r="M13" s="225"/>
      <c r="N13" s="225"/>
      <c r="O13" s="292"/>
      <c r="P13" s="286" t="str">
        <f>"CONNAISSANCES : "&amp;C15&amp;", "&amp;C16&amp;", "&amp;C17</f>
        <v>CONNAISSANCES : Différents types de couplages et de conversion et leurs mécanismes, Caractéristiques importantes d’un matériau électroactif, Procédés et méthodes de caractérisation de matériaux et systèmes électro-actifs</v>
      </c>
      <c r="Q13" s="275"/>
      <c r="R13" s="244"/>
      <c r="S13" s="244"/>
      <c r="T13" s="244"/>
      <c r="U13" s="244"/>
      <c r="V13" s="244"/>
      <c r="X13" s="5"/>
      <c r="Y13" s="5"/>
      <c r="Z13" s="5"/>
      <c r="AA13" s="5"/>
      <c r="AB13" s="5"/>
      <c r="AC13" s="5"/>
    </row>
    <row r="14" spans="1:29">
      <c r="B14" s="242" t="s">
        <v>410</v>
      </c>
      <c r="C14" s="715" t="s">
        <v>606</v>
      </c>
      <c r="M14" s="225"/>
      <c r="N14" s="225"/>
      <c r="O14" s="292"/>
      <c r="P14" s="414" t="str">
        <f>"MOTS-CLES : "&amp;C18</f>
        <v>MOTS-CLES : conversion électroactive (éolien, photovoltaïque, piézoélectrique, thermoélectrique, pyroélectrique, magnétisme, électrochimie), modélisation, caractérisation</v>
      </c>
      <c r="Q14" s="275"/>
      <c r="R14" s="244"/>
      <c r="S14" s="244"/>
      <c r="T14" s="244"/>
      <c r="U14" s="244"/>
      <c r="V14" s="244"/>
      <c r="X14" s="5"/>
      <c r="Y14" s="5"/>
      <c r="Z14" s="5"/>
      <c r="AA14" s="5"/>
      <c r="AB14" s="5"/>
      <c r="AC14" s="5"/>
    </row>
    <row r="15" spans="1:29">
      <c r="B15" s="242" t="s">
        <v>411</v>
      </c>
      <c r="C15" t="s">
        <v>610</v>
      </c>
      <c r="O15" s="292"/>
      <c r="Q15" s="275"/>
      <c r="R15" s="244"/>
      <c r="S15" s="244"/>
      <c r="T15" s="244"/>
      <c r="U15" s="244"/>
      <c r="V15" s="244"/>
      <c r="X15" s="5"/>
      <c r="Y15" s="5"/>
      <c r="Z15" s="5"/>
      <c r="AA15" s="5"/>
      <c r="AB15" s="5"/>
      <c r="AC15" s="5"/>
    </row>
    <row r="16" spans="1:29">
      <c r="B16" s="242" t="s">
        <v>411</v>
      </c>
      <c r="C16" t="s">
        <v>607</v>
      </c>
      <c r="O16" s="292"/>
      <c r="P16" s="352" t="str">
        <f>C21</f>
        <v>Mettre en œuvre les différents éléments de production d’énergie, de transport d’énergie électrique et de conversion d'énergie</v>
      </c>
      <c r="Q16" s="275"/>
      <c r="R16" s="244"/>
      <c r="S16" s="244"/>
      <c r="T16" s="244"/>
      <c r="U16" s="244"/>
      <c r="V16" s="244"/>
      <c r="X16" s="5"/>
      <c r="Y16" s="5"/>
      <c r="Z16" s="5"/>
      <c r="AA16" s="5"/>
      <c r="AB16" s="5"/>
      <c r="AC16" s="5"/>
    </row>
    <row r="17" spans="1:29">
      <c r="B17" s="242" t="s">
        <v>411</v>
      </c>
      <c r="C17" t="s">
        <v>608</v>
      </c>
      <c r="O17" s="292"/>
      <c r="P17" s="286" t="str">
        <f>"CAPACITES : "&amp;C22&amp;", "&amp;C23&amp;", "&amp;C24</f>
        <v>CAPACITES : Mettre en œuvre des solutions de production, distribution et stockage de l'énergie, Donner et expliquer le schéma de principe d’une centrale thermique, Dimensionner une installation éolienne ou photovoltaïque</v>
      </c>
      <c r="Q17" s="275"/>
      <c r="R17" s="244"/>
      <c r="S17" s="244"/>
      <c r="T17" s="244"/>
      <c r="U17" s="244"/>
      <c r="V17" s="244"/>
      <c r="X17" s="5"/>
      <c r="Y17" s="5"/>
      <c r="Z17" s="5"/>
      <c r="AA17" s="5"/>
      <c r="AB17" s="5"/>
      <c r="AC17" s="5"/>
    </row>
    <row r="18" spans="1:29" ht="15" customHeight="1">
      <c r="B18" s="242" t="s">
        <v>130</v>
      </c>
      <c r="C18" s="242" t="s">
        <v>611</v>
      </c>
      <c r="O18" s="292"/>
      <c r="P18" s="286" t="str">
        <f>"CONNAISSANCES : "&amp;C25&amp;", "&amp;C26&amp;", "&amp;C27</f>
        <v>CONNAISSANCES : Identifier les problèmes sur un réseau de distribution électrique et les corriger, Principes de fonctionnement de différents types d'installation de production d'énergie, Principes de fonctionnement et réglage d’une turbine à vapeur et de la chaudière</v>
      </c>
      <c r="Q18" s="276"/>
      <c r="R18" s="266"/>
      <c r="S18" s="266"/>
      <c r="T18" s="266"/>
      <c r="U18" s="266"/>
      <c r="V18" s="266"/>
      <c r="X18" s="244"/>
      <c r="Y18" s="244"/>
      <c r="Z18" s="244"/>
      <c r="AA18" s="244"/>
      <c r="AB18" s="244"/>
      <c r="AC18" s="244"/>
    </row>
    <row r="19" spans="1:29">
      <c r="O19" s="292"/>
      <c r="P19" s="414" t="str">
        <f>"MOTS-CLES : "&amp;C28</f>
        <v>MOTS-CLES : centrales, turbine à vapeur, réseaux électriques, cycles thermiques, bureau d'étude</v>
      </c>
      <c r="Q19" s="276"/>
      <c r="R19" s="266"/>
      <c r="S19" s="266"/>
      <c r="T19" s="266"/>
      <c r="U19" s="266"/>
      <c r="V19" s="266"/>
      <c r="X19" s="244"/>
      <c r="Y19" s="244"/>
      <c r="Z19" s="244"/>
      <c r="AA19" s="244"/>
      <c r="AB19" s="244"/>
      <c r="AC19" s="244"/>
    </row>
    <row r="20" spans="1:29" ht="16" thickBot="1">
      <c r="O20" s="292"/>
      <c r="Q20" s="328"/>
      <c r="T20" s="244"/>
      <c r="U20" s="244"/>
      <c r="V20" s="244"/>
      <c r="X20" s="244"/>
      <c r="Y20" s="244"/>
      <c r="Z20" s="244"/>
      <c r="AA20" s="244"/>
      <c r="AB20" s="244"/>
      <c r="AC20" s="244"/>
    </row>
    <row r="21" spans="1:29" ht="17" thickBot="1">
      <c r="A21" s="325" t="s">
        <v>128</v>
      </c>
      <c r="B21" s="234"/>
      <c r="C21" s="1045" t="s">
        <v>477</v>
      </c>
      <c r="D21" s="1087"/>
      <c r="E21" s="1087"/>
      <c r="F21" s="1087"/>
      <c r="G21" s="1087"/>
      <c r="H21" s="1087"/>
      <c r="I21" s="1087"/>
      <c r="J21" s="1087"/>
      <c r="K21" s="1087"/>
      <c r="L21" s="1088"/>
      <c r="M21" s="241">
        <v>3</v>
      </c>
      <c r="N21" s="321" t="s">
        <v>407</v>
      </c>
      <c r="O21" s="292"/>
      <c r="P21" s="352" t="str">
        <f>C31</f>
        <v>Mettre en oeuvre les étapes permettant le contrôle du fonctionnement d’un système discret ou continu</v>
      </c>
      <c r="Q21"/>
      <c r="T21" s="244"/>
      <c r="U21" s="244"/>
      <c r="V21" s="244"/>
      <c r="X21" s="244"/>
      <c r="Y21" s="244"/>
      <c r="Z21" s="244"/>
      <c r="AA21" s="244"/>
      <c r="AB21" s="244"/>
      <c r="AC21" s="244"/>
    </row>
    <row r="22" spans="1:29" ht="16">
      <c r="A22" s="395" t="s">
        <v>488</v>
      </c>
      <c r="B22" s="396"/>
      <c r="C22" s="390" t="s">
        <v>612</v>
      </c>
      <c r="D22" s="386"/>
      <c r="M22" s="225"/>
      <c r="N22" s="225"/>
      <c r="O22" s="292"/>
      <c r="P22" s="286" t="str">
        <f>"CAPACITES : "&amp;C32&amp;", "&amp;C33&amp;", "&amp;C34</f>
        <v>CAPACITES : Mettre en œuvre et dimensionner un circuit de charge de batterie, Principe d’une régulation au maximum de puissance , Structure de charge de batteries</v>
      </c>
      <c r="Q22"/>
    </row>
    <row r="23" spans="1:29" ht="16.5" customHeight="1">
      <c r="B23" s="242" t="s">
        <v>410</v>
      </c>
      <c r="C23" s="715" t="s">
        <v>613</v>
      </c>
      <c r="M23" s="225"/>
      <c r="N23" s="225"/>
      <c r="O23" s="292"/>
      <c r="P23" s="286" t="str">
        <f>"CONNAISSANCES : "&amp;C35&amp;", "&amp;C36&amp;", "&amp;C37</f>
        <v xml:space="preserve">CONNAISSANCES : charge de batteries, conception d'une installation de production (bureau d'étude), conception et analyse d'un système intelligent (projets), capteurs et actionneurs électroactifs, , </v>
      </c>
      <c r="Q23"/>
      <c r="T23" s="269"/>
      <c r="U23" s="269"/>
      <c r="V23" s="269"/>
    </row>
    <row r="24" spans="1:29">
      <c r="B24" s="242" t="s">
        <v>410</v>
      </c>
      <c r="C24" s="715" t="s">
        <v>614</v>
      </c>
      <c r="M24" s="225"/>
      <c r="N24" s="225"/>
      <c r="O24" s="292"/>
      <c r="P24" s="414" t="str">
        <f>"MOTS-CLES : "&amp;C38</f>
        <v>MOTS-CLES : Mettre en oeuvre les étapes permettant le contrôle du fonctionnement d’un système discret ou continu</v>
      </c>
      <c r="Q24"/>
    </row>
    <row r="25" spans="1:29">
      <c r="B25" s="242" t="s">
        <v>410</v>
      </c>
      <c r="C25" s="715" t="s">
        <v>615</v>
      </c>
      <c r="M25" s="225"/>
      <c r="N25" s="225"/>
      <c r="O25" s="292"/>
      <c r="Q25"/>
    </row>
    <row r="26" spans="1:29">
      <c r="B26" s="242" t="s">
        <v>411</v>
      </c>
      <c r="C26" t="s">
        <v>616</v>
      </c>
      <c r="O26" s="292"/>
      <c r="Q26"/>
    </row>
    <row r="27" spans="1:29">
      <c r="B27" s="242" t="s">
        <v>411</v>
      </c>
      <c r="C27" t="s">
        <v>617</v>
      </c>
      <c r="O27" s="292"/>
      <c r="P27" s="413" t="s">
        <v>186</v>
      </c>
      <c r="Q27"/>
    </row>
    <row r="28" spans="1:29">
      <c r="B28" s="242" t="s">
        <v>130</v>
      </c>
      <c r="C28" s="242" t="s">
        <v>618</v>
      </c>
      <c r="O28" s="292"/>
      <c r="P28" s="227" t="s">
        <v>650</v>
      </c>
      <c r="Q28"/>
    </row>
    <row r="29" spans="1:29">
      <c r="O29" s="292"/>
      <c r="P29" s="286" t="s">
        <v>651</v>
      </c>
      <c r="Q29"/>
    </row>
    <row r="30" spans="1:29" ht="16" thickBot="1">
      <c r="O30" s="304"/>
      <c r="P30" s="286" t="s">
        <v>652</v>
      </c>
      <c r="Q30"/>
    </row>
    <row r="31" spans="1:29" ht="17" thickBot="1">
      <c r="A31" s="323" t="s">
        <v>129</v>
      </c>
      <c r="B31" s="234"/>
      <c r="C31" s="273" t="s">
        <v>478</v>
      </c>
      <c r="D31" s="274"/>
      <c r="E31" s="274"/>
      <c r="F31" s="274"/>
      <c r="G31" s="274"/>
      <c r="H31" s="274"/>
      <c r="I31" s="274"/>
      <c r="J31" s="274"/>
      <c r="K31" s="274"/>
      <c r="L31" s="274"/>
      <c r="M31" s="241">
        <v>2</v>
      </c>
      <c r="N31" s="321" t="s">
        <v>409</v>
      </c>
      <c r="O31" s="292"/>
      <c r="Q31"/>
    </row>
    <row r="32" spans="1:29">
      <c r="B32" s="242" t="s">
        <v>410</v>
      </c>
      <c r="C32" s="715" t="s">
        <v>619</v>
      </c>
      <c r="L32" s="251"/>
      <c r="O32" s="292"/>
      <c r="P32" s="352" t="s">
        <v>653</v>
      </c>
      <c r="Q32"/>
    </row>
    <row r="33" spans="1:18">
      <c r="B33" s="242" t="s">
        <v>411</v>
      </c>
      <c r="C33" t="s">
        <v>620</v>
      </c>
      <c r="O33" s="292"/>
      <c r="P33" s="286" t="s">
        <v>654</v>
      </c>
      <c r="Q33"/>
    </row>
    <row r="34" spans="1:18">
      <c r="B34" s="242" t="s">
        <v>411</v>
      </c>
      <c r="C34" t="s">
        <v>621</v>
      </c>
      <c r="O34" s="292"/>
      <c r="P34" s="286" t="s">
        <v>655</v>
      </c>
      <c r="Q34"/>
    </row>
    <row r="35" spans="1:18">
      <c r="B35" s="242" t="s">
        <v>130</v>
      </c>
      <c r="C35" s="242" t="s">
        <v>622</v>
      </c>
      <c r="O35" s="292"/>
      <c r="Q35"/>
    </row>
    <row r="36" spans="1:18">
      <c r="O36" s="292"/>
      <c r="P36" s="352" t="s">
        <v>656</v>
      </c>
      <c r="Q36"/>
    </row>
    <row r="37" spans="1:18" ht="16" thickBot="1">
      <c r="O37" s="292"/>
      <c r="P37" s="286" t="s">
        <v>657</v>
      </c>
      <c r="Q37"/>
    </row>
    <row r="38" spans="1:18" ht="17" thickBot="1">
      <c r="A38" s="323" t="s">
        <v>140</v>
      </c>
      <c r="B38" s="234"/>
      <c r="C38" s="273" t="s">
        <v>478</v>
      </c>
      <c r="D38" s="274"/>
      <c r="E38" s="274"/>
      <c r="F38" s="274"/>
      <c r="G38" s="274"/>
      <c r="H38" s="274"/>
      <c r="I38" s="274"/>
      <c r="J38" s="274"/>
      <c r="K38" s="274"/>
      <c r="L38" s="274"/>
      <c r="M38" s="241">
        <v>2</v>
      </c>
      <c r="N38" s="321" t="s">
        <v>409</v>
      </c>
      <c r="O38" s="292"/>
      <c r="P38" s="286" t="s">
        <v>658</v>
      </c>
      <c r="Q38"/>
    </row>
    <row r="39" spans="1:18">
      <c r="B39" s="242" t="s">
        <v>410</v>
      </c>
      <c r="C39" s="715" t="s">
        <v>623</v>
      </c>
      <c r="L39" s="251"/>
      <c r="O39" s="292"/>
      <c r="P39" s="286" t="s">
        <v>659</v>
      </c>
      <c r="Q39"/>
    </row>
    <row r="40" spans="1:18">
      <c r="B40" s="242" t="s">
        <v>410</v>
      </c>
      <c r="C40" s="715" t="s">
        <v>624</v>
      </c>
      <c r="O40" s="292"/>
      <c r="P40" s="286"/>
    </row>
    <row r="41" spans="1:18">
      <c r="B41" s="242" t="s">
        <v>410</v>
      </c>
      <c r="C41" s="715" t="s">
        <v>625</v>
      </c>
      <c r="O41" s="244"/>
      <c r="P41" s="286"/>
    </row>
    <row r="42" spans="1:18">
      <c r="B42" s="242" t="s">
        <v>411</v>
      </c>
      <c r="C42" t="s">
        <v>626</v>
      </c>
      <c r="O42" s="244"/>
      <c r="P42" s="286"/>
    </row>
    <row r="43" spans="1:18">
      <c r="B43" s="242" t="s">
        <v>411</v>
      </c>
      <c r="C43" t="s">
        <v>627</v>
      </c>
      <c r="O43" s="244"/>
      <c r="P43" s="286"/>
      <c r="R43" s="242"/>
    </row>
    <row r="44" spans="1:18">
      <c r="B44" s="242" t="s">
        <v>130</v>
      </c>
      <c r="C44" s="242" t="s">
        <v>628</v>
      </c>
      <c r="O44" s="244"/>
    </row>
    <row r="47" spans="1:18">
      <c r="A47" s="415" t="s">
        <v>489</v>
      </c>
    </row>
    <row r="48" spans="1:18" ht="16" thickBot="1"/>
    <row r="49" spans="1:14" ht="17" thickBot="1">
      <c r="A49" s="323" t="s">
        <v>127</v>
      </c>
      <c r="B49" s="234"/>
      <c r="C49" s="411" t="s">
        <v>642</v>
      </c>
      <c r="D49" s="274"/>
      <c r="E49" s="274"/>
      <c r="F49" s="274"/>
      <c r="G49" s="274"/>
      <c r="H49" s="274"/>
      <c r="I49" s="274"/>
      <c r="J49" s="274"/>
      <c r="K49" s="274"/>
      <c r="L49" s="274"/>
      <c r="M49" s="241">
        <v>2</v>
      </c>
      <c r="N49" s="321" t="s">
        <v>407</v>
      </c>
    </row>
    <row r="50" spans="1:14" ht="16">
      <c r="A50" s="395" t="s">
        <v>488</v>
      </c>
      <c r="B50" s="396"/>
      <c r="C50" s="412" t="s">
        <v>643</v>
      </c>
      <c r="D50" s="179"/>
      <c r="E50" s="179"/>
      <c r="F50" s="179"/>
      <c r="G50" s="179"/>
      <c r="H50" s="179"/>
      <c r="I50" s="179"/>
      <c r="J50" s="179"/>
      <c r="K50" s="179"/>
      <c r="L50" s="179"/>
      <c r="M50" s="256"/>
      <c r="N50" s="244"/>
    </row>
    <row r="51" spans="1:14">
      <c r="B51" s="242" t="s">
        <v>410</v>
      </c>
      <c r="C51" t="s">
        <v>644</v>
      </c>
      <c r="L51" s="251"/>
    </row>
    <row r="52" spans="1:14">
      <c r="B52" s="242" t="s">
        <v>410</v>
      </c>
      <c r="C52" t="s">
        <v>645</v>
      </c>
    </row>
    <row r="53" spans="1:14">
      <c r="B53" s="242" t="s">
        <v>410</v>
      </c>
      <c r="C53" t="s">
        <v>638</v>
      </c>
    </row>
    <row r="54" spans="1:14">
      <c r="B54" s="242" t="s">
        <v>411</v>
      </c>
      <c r="C54" t="s">
        <v>646</v>
      </c>
    </row>
    <row r="55" spans="1:14">
      <c r="B55" s="242" t="s">
        <v>411</v>
      </c>
      <c r="C55" t="s">
        <v>647</v>
      </c>
    </row>
    <row r="56" spans="1:14">
      <c r="B56" s="242" t="s">
        <v>411</v>
      </c>
      <c r="C56" t="s">
        <v>648</v>
      </c>
    </row>
    <row r="57" spans="1:14">
      <c r="B57" s="242" t="s">
        <v>130</v>
      </c>
      <c r="C57" t="s">
        <v>649</v>
      </c>
    </row>
    <row r="59" spans="1:14" ht="16" thickBot="1"/>
    <row r="60" spans="1:14" ht="17" thickBot="1">
      <c r="A60" s="323" t="s">
        <v>128</v>
      </c>
      <c r="B60" s="234"/>
      <c r="C60" s="411" t="s">
        <v>629</v>
      </c>
      <c r="D60" s="274"/>
      <c r="E60" s="274"/>
      <c r="F60" s="274"/>
      <c r="G60" s="274"/>
      <c r="H60" s="274"/>
      <c r="I60" s="274"/>
      <c r="J60" s="274"/>
      <c r="K60" s="274"/>
      <c r="L60" s="274"/>
      <c r="M60" s="241">
        <v>2</v>
      </c>
      <c r="N60" s="321" t="s">
        <v>409</v>
      </c>
    </row>
    <row r="61" spans="1:14">
      <c r="B61" s="242" t="s">
        <v>410</v>
      </c>
      <c r="C61" t="s">
        <v>630</v>
      </c>
      <c r="L61" s="251"/>
    </row>
    <row r="62" spans="1:14">
      <c r="B62" s="242" t="s">
        <v>411</v>
      </c>
      <c r="C62" t="s">
        <v>631</v>
      </c>
    </row>
    <row r="63" spans="1:14">
      <c r="B63" s="242" t="s">
        <v>130</v>
      </c>
      <c r="C63" s="242" t="s">
        <v>632</v>
      </c>
    </row>
    <row r="64" spans="1:14" ht="16" thickBot="1"/>
    <row r="65" spans="1:14" ht="17" thickBot="1">
      <c r="A65" s="323" t="s">
        <v>129</v>
      </c>
      <c r="B65" s="234"/>
      <c r="C65" s="411" t="s">
        <v>492</v>
      </c>
      <c r="D65" s="274"/>
      <c r="E65" s="274"/>
      <c r="F65" s="274"/>
      <c r="G65" s="274"/>
      <c r="H65" s="274"/>
      <c r="I65" s="274"/>
      <c r="J65" s="274"/>
      <c r="K65" s="274"/>
      <c r="L65" s="274"/>
      <c r="M65" s="241">
        <v>2</v>
      </c>
      <c r="N65" s="321" t="s">
        <v>409</v>
      </c>
    </row>
    <row r="66" spans="1:14">
      <c r="B66" s="242" t="s">
        <v>410</v>
      </c>
      <c r="C66" t="s">
        <v>633</v>
      </c>
      <c r="L66" s="251"/>
    </row>
    <row r="67" spans="1:14">
      <c r="B67" s="242" t="s">
        <v>410</v>
      </c>
      <c r="C67" t="s">
        <v>634</v>
      </c>
    </row>
    <row r="68" spans="1:14">
      <c r="B68" s="242" t="s">
        <v>410</v>
      </c>
      <c r="C68" t="s">
        <v>635</v>
      </c>
    </row>
    <row r="69" spans="1:14">
      <c r="B69" s="242" t="s">
        <v>411</v>
      </c>
      <c r="C69" t="s">
        <v>636</v>
      </c>
    </row>
    <row r="70" spans="1:14">
      <c r="B70" s="242" t="s">
        <v>130</v>
      </c>
      <c r="C70" s="242" t="s">
        <v>628</v>
      </c>
    </row>
    <row r="71" spans="1:14">
      <c r="B71" s="242"/>
    </row>
    <row r="72" spans="1:14" ht="16" thickBot="1"/>
    <row r="73" spans="1:14" ht="17" thickBot="1">
      <c r="A73" s="323" t="s">
        <v>140</v>
      </c>
      <c r="B73" s="234"/>
      <c r="C73" s="411" t="s">
        <v>637</v>
      </c>
      <c r="D73" s="274"/>
      <c r="E73" s="274"/>
      <c r="F73" s="274"/>
      <c r="G73" s="274"/>
      <c r="H73" s="274"/>
      <c r="I73" s="274"/>
      <c r="J73" s="274"/>
      <c r="K73" s="274"/>
      <c r="L73" s="274"/>
      <c r="M73" s="241">
        <v>2</v>
      </c>
      <c r="N73" s="321" t="s">
        <v>409</v>
      </c>
    </row>
    <row r="74" spans="1:14">
      <c r="B74" s="242" t="s">
        <v>410</v>
      </c>
      <c r="C74" t="s">
        <v>638</v>
      </c>
      <c r="L74" s="251"/>
    </row>
    <row r="75" spans="1:14">
      <c r="B75" s="242" t="s">
        <v>411</v>
      </c>
      <c r="C75" t="s">
        <v>639</v>
      </c>
    </row>
    <row r="76" spans="1:14">
      <c r="B76" s="242" t="s">
        <v>411</v>
      </c>
      <c r="C76" t="s">
        <v>640</v>
      </c>
    </row>
    <row r="77" spans="1:14">
      <c r="B77" s="242" t="s">
        <v>130</v>
      </c>
      <c r="C77" s="242" t="s">
        <v>641</v>
      </c>
    </row>
    <row r="79" spans="1:14">
      <c r="B79" s="242"/>
    </row>
  </sheetData>
  <mergeCells count="3">
    <mergeCell ref="C10:L10"/>
    <mergeCell ref="C21:L21"/>
    <mergeCell ref="P8:W8"/>
  </mergeCells>
  <dataValidations disablePrompts="1" count="2">
    <dataValidation type="list" allowBlank="1" showInputMessage="1" showErrorMessage="1" sqref="B23:B27 B12:B17 B32:B34 B39:B43 B71 B51:B56 B61:B62 B66:B69 B74:B76 B79" xr:uid="{00000000-0002-0000-1E00-000000000000}">
      <formula1>Choix_capacité</formula1>
    </dataValidation>
    <dataValidation type="list" allowBlank="1" showInputMessage="1" showErrorMessage="1" sqref="N10 N21 N31 N38 N73 N65 N60 N49:N50" xr:uid="{00000000-0002-0000-1E00-000001000000}">
      <formula1>choix</formula1>
    </dataValidation>
  </dataValidations>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2">
    <tabColor theme="7"/>
  </sheetPr>
  <dimension ref="A3:Z43"/>
  <sheetViews>
    <sheetView zoomScale="80" zoomScaleNormal="80" workbookViewId="0">
      <selection activeCell="L29" sqref="L29"/>
    </sheetView>
  </sheetViews>
  <sheetFormatPr baseColWidth="10" defaultRowHeight="15"/>
  <cols>
    <col min="2" max="2" width="13.6640625" customWidth="1"/>
    <col min="3" max="3" width="17.6640625" customWidth="1"/>
    <col min="14" max="14" width="6" customWidth="1"/>
    <col min="15" max="16" width="13.5" bestFit="1" customWidth="1"/>
    <col min="22" max="22" width="19.1640625" customWidth="1"/>
  </cols>
  <sheetData>
    <row r="3" spans="1:19" ht="16" thickBot="1"/>
    <row r="4" spans="1:19" ht="19">
      <c r="B4" s="327" t="s">
        <v>115</v>
      </c>
      <c r="C4" s="228" t="s">
        <v>126</v>
      </c>
      <c r="D4" s="229" t="s">
        <v>72</v>
      </c>
      <c r="E4" s="227" t="s">
        <v>413</v>
      </c>
      <c r="G4" s="242"/>
    </row>
    <row r="5" spans="1:19">
      <c r="C5" s="230" t="s">
        <v>55</v>
      </c>
      <c r="D5" s="231">
        <v>12</v>
      </c>
    </row>
    <row r="6" spans="1:19" ht="16" thickBot="1">
      <c r="C6" s="232" t="s">
        <v>62</v>
      </c>
      <c r="D6" s="315">
        <v>180</v>
      </c>
    </row>
    <row r="7" spans="1:19" ht="49" thickBot="1">
      <c r="O7" s="320" t="s">
        <v>125</v>
      </c>
      <c r="P7" s="320" t="s">
        <v>408</v>
      </c>
      <c r="R7" s="297" t="s">
        <v>183</v>
      </c>
      <c r="S7" s="294"/>
    </row>
    <row r="8" spans="1:19" ht="16" thickBot="1">
      <c r="R8" s="289"/>
    </row>
    <row r="9" spans="1:19" ht="17" thickBot="1">
      <c r="A9" s="323" t="s">
        <v>127</v>
      </c>
      <c r="B9" s="234"/>
      <c r="C9" s="1038" t="s">
        <v>124</v>
      </c>
      <c r="D9" s="1039"/>
      <c r="E9" s="1039"/>
      <c r="F9" s="1039"/>
      <c r="G9" s="1039"/>
      <c r="H9" s="1039"/>
      <c r="I9" s="1039"/>
      <c r="J9" s="1039"/>
      <c r="K9" s="1039"/>
      <c r="L9" s="1039"/>
      <c r="M9" s="1039"/>
      <c r="N9" s="1040"/>
      <c r="O9" s="241">
        <v>3</v>
      </c>
      <c r="P9" s="321"/>
      <c r="R9" s="288" t="s">
        <v>277</v>
      </c>
    </row>
    <row r="10" spans="1:19">
      <c r="B10" s="242" t="s">
        <v>410</v>
      </c>
      <c r="O10" s="225"/>
      <c r="R10" s="290" t="s">
        <v>417</v>
      </c>
    </row>
    <row r="11" spans="1:19">
      <c r="B11" s="242" t="s">
        <v>410</v>
      </c>
      <c r="O11" s="225"/>
      <c r="R11" s="290" t="s">
        <v>414</v>
      </c>
    </row>
    <row r="12" spans="1:19">
      <c r="B12" s="242" t="s">
        <v>410</v>
      </c>
      <c r="O12" s="225"/>
      <c r="R12" s="290" t="s">
        <v>415</v>
      </c>
    </row>
    <row r="13" spans="1:19">
      <c r="B13" s="242" t="s">
        <v>411</v>
      </c>
      <c r="O13" s="225"/>
      <c r="R13" s="290" t="s">
        <v>416</v>
      </c>
    </row>
    <row r="14" spans="1:19">
      <c r="B14" s="242" t="s">
        <v>411</v>
      </c>
      <c r="R14" s="289"/>
    </row>
    <row r="15" spans="1:19">
      <c r="B15" s="242" t="s">
        <v>411</v>
      </c>
      <c r="R15" s="288" t="s">
        <v>186</v>
      </c>
    </row>
    <row r="16" spans="1:19">
      <c r="B16" s="242" t="s">
        <v>130</v>
      </c>
      <c r="R16" s="300" t="s">
        <v>418</v>
      </c>
    </row>
    <row r="17" spans="1:26" ht="16" thickBot="1">
      <c r="R17" s="290" t="s">
        <v>419</v>
      </c>
    </row>
    <row r="18" spans="1:26" ht="17" thickBot="1">
      <c r="A18" s="323" t="s">
        <v>128</v>
      </c>
      <c r="B18" s="234"/>
      <c r="C18" s="1038" t="s">
        <v>64</v>
      </c>
      <c r="D18" s="1039"/>
      <c r="E18" s="1039"/>
      <c r="F18" s="1039"/>
      <c r="G18" s="1039"/>
      <c r="H18" s="1039"/>
      <c r="I18" s="1039"/>
      <c r="J18" s="1039"/>
      <c r="K18" s="1039"/>
      <c r="L18" s="1039"/>
      <c r="M18" s="1039"/>
      <c r="N18" s="1040"/>
      <c r="O18" s="241">
        <v>3</v>
      </c>
      <c r="P18" s="321"/>
      <c r="R18" s="290" t="s">
        <v>420</v>
      </c>
    </row>
    <row r="19" spans="1:26">
      <c r="B19" s="242" t="s">
        <v>410</v>
      </c>
      <c r="O19" s="225"/>
      <c r="R19" s="290" t="s">
        <v>421</v>
      </c>
    </row>
    <row r="20" spans="1:26">
      <c r="B20" s="242" t="s">
        <v>410</v>
      </c>
      <c r="O20" s="225"/>
      <c r="R20" s="290" t="s">
        <v>422</v>
      </c>
    </row>
    <row r="21" spans="1:26" ht="15.75" customHeight="1">
      <c r="B21" s="242" t="s">
        <v>410</v>
      </c>
      <c r="O21" s="225"/>
      <c r="R21" s="300" t="s">
        <v>423</v>
      </c>
    </row>
    <row r="22" spans="1:26" ht="15.75" customHeight="1">
      <c r="B22" s="242" t="s">
        <v>411</v>
      </c>
      <c r="O22" s="225"/>
      <c r="R22" s="290" t="s">
        <v>424</v>
      </c>
    </row>
    <row r="23" spans="1:26" ht="15" customHeight="1">
      <c r="B23" s="242" t="s">
        <v>411</v>
      </c>
      <c r="R23" s="290" t="s">
        <v>425</v>
      </c>
    </row>
    <row r="24" spans="1:26" ht="15" customHeight="1">
      <c r="B24" s="242" t="s">
        <v>411</v>
      </c>
      <c r="R24" s="290" t="s">
        <v>426</v>
      </c>
    </row>
    <row r="25" spans="1:26">
      <c r="B25" s="242" t="s">
        <v>130</v>
      </c>
      <c r="R25" s="290" t="s">
        <v>427</v>
      </c>
    </row>
    <row r="26" spans="1:26" ht="16" thickBot="1">
      <c r="R26" s="286" t="s">
        <v>428</v>
      </c>
    </row>
    <row r="27" spans="1:26" ht="17" thickBot="1">
      <c r="A27" s="323" t="s">
        <v>129</v>
      </c>
      <c r="B27" s="234"/>
      <c r="C27" s="1038" t="s">
        <v>71</v>
      </c>
      <c r="D27" s="1039"/>
      <c r="E27" s="1039"/>
      <c r="F27" s="1039"/>
      <c r="G27" s="1039"/>
      <c r="H27" s="1039"/>
      <c r="I27" s="1039"/>
      <c r="J27" s="1039"/>
      <c r="K27" s="1039"/>
      <c r="L27" s="1039"/>
      <c r="M27" s="1039"/>
      <c r="N27" s="1040"/>
      <c r="O27" s="241">
        <v>3</v>
      </c>
      <c r="P27" s="321"/>
      <c r="R27" s="286" t="s">
        <v>429</v>
      </c>
    </row>
    <row r="28" spans="1:26">
      <c r="B28" s="242" t="s">
        <v>410</v>
      </c>
      <c r="O28" s="225"/>
      <c r="R28" s="244" t="s">
        <v>430</v>
      </c>
    </row>
    <row r="29" spans="1:26">
      <c r="B29" s="242" t="s">
        <v>410</v>
      </c>
      <c r="O29" s="225"/>
      <c r="R29" s="296" t="s">
        <v>431</v>
      </c>
    </row>
    <row r="30" spans="1:26">
      <c r="B30" s="242" t="s">
        <v>410</v>
      </c>
      <c r="R30" s="296" t="s">
        <v>432</v>
      </c>
    </row>
    <row r="31" spans="1:26">
      <c r="B31" s="242" t="s">
        <v>411</v>
      </c>
      <c r="R31" s="295" t="s">
        <v>433</v>
      </c>
    </row>
    <row r="32" spans="1:26">
      <c r="B32" s="242" t="s">
        <v>411</v>
      </c>
      <c r="R32" s="295" t="s">
        <v>434</v>
      </c>
      <c r="S32" s="280"/>
      <c r="T32" s="280"/>
      <c r="U32" s="280"/>
      <c r="V32" s="280"/>
      <c r="W32" s="280"/>
      <c r="X32" s="280"/>
      <c r="Y32" s="280"/>
      <c r="Z32" s="280"/>
    </row>
    <row r="33" spans="2:18">
      <c r="B33" s="242" t="s">
        <v>411</v>
      </c>
      <c r="R33" s="247"/>
    </row>
    <row r="34" spans="2:18">
      <c r="B34" s="242" t="s">
        <v>130</v>
      </c>
    </row>
    <row r="35" spans="2:18">
      <c r="R35" s="247"/>
    </row>
    <row r="36" spans="2:18">
      <c r="R36" s="244"/>
    </row>
    <row r="37" spans="2:18">
      <c r="R37" s="249"/>
    </row>
    <row r="38" spans="2:18">
      <c r="R38" s="249"/>
    </row>
    <row r="39" spans="2:18">
      <c r="Q39" s="243"/>
      <c r="R39" s="249"/>
    </row>
    <row r="40" spans="2:18">
      <c r="Q40" s="245"/>
      <c r="R40" s="249"/>
    </row>
    <row r="41" spans="2:18">
      <c r="R41" s="249"/>
    </row>
    <row r="42" spans="2:18">
      <c r="R42" s="249"/>
    </row>
    <row r="43" spans="2:18">
      <c r="R43" s="249"/>
    </row>
  </sheetData>
  <mergeCells count="3">
    <mergeCell ref="C9:N9"/>
    <mergeCell ref="C18:N18"/>
    <mergeCell ref="C27:N27"/>
  </mergeCells>
  <dataValidations count="2">
    <dataValidation type="list" allowBlank="1" showInputMessage="1" showErrorMessage="1" sqref="B28:B33 B19:B24 B10:B15" xr:uid="{00000000-0002-0000-1F00-000000000000}">
      <formula1>Choix_capacité</formula1>
    </dataValidation>
    <dataValidation type="list" allowBlank="1" showInputMessage="1" showErrorMessage="1" sqref="P9 P18 P27" xr:uid="{00000000-0002-0000-1F00-000001000000}">
      <formula1>choix</formula1>
    </dataValidation>
  </dataValidations>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3">
    <tabColor theme="7"/>
  </sheetPr>
  <dimension ref="A3:AC58"/>
  <sheetViews>
    <sheetView zoomScale="80" zoomScaleNormal="80" workbookViewId="0">
      <selection activeCell="J17" sqref="J17"/>
    </sheetView>
  </sheetViews>
  <sheetFormatPr baseColWidth="10" defaultRowHeight="15"/>
  <cols>
    <col min="2" max="2" width="14.6640625" customWidth="1"/>
    <col min="3" max="3" width="15" customWidth="1"/>
    <col min="12" max="12" width="18.83203125" customWidth="1"/>
    <col min="13" max="14" width="13.5" bestFit="1" customWidth="1"/>
    <col min="15" max="15" width="22.1640625" customWidth="1"/>
    <col min="16" max="16" width="19.6640625" customWidth="1"/>
    <col min="17" max="17" width="11.5" style="238"/>
    <col min="22" max="22" width="16.1640625" customWidth="1"/>
    <col min="29" max="29" width="17.5" customWidth="1"/>
  </cols>
  <sheetData>
    <row r="3" spans="1:29" ht="16" thickBot="1"/>
    <row r="4" spans="1:29" ht="19">
      <c r="B4" s="327" t="s">
        <v>115</v>
      </c>
      <c r="C4" s="228" t="s">
        <v>126</v>
      </c>
      <c r="D4" s="229" t="s">
        <v>69</v>
      </c>
      <c r="E4" s="227" t="s">
        <v>435</v>
      </c>
    </row>
    <row r="5" spans="1:29">
      <c r="C5" s="230" t="s">
        <v>55</v>
      </c>
      <c r="D5" s="231">
        <v>12</v>
      </c>
    </row>
    <row r="6" spans="1:29" ht="16" thickBot="1">
      <c r="C6" s="232" t="s">
        <v>62</v>
      </c>
      <c r="D6" s="315">
        <v>180</v>
      </c>
    </row>
    <row r="7" spans="1:29" ht="16" thickBot="1">
      <c r="U7" s="242"/>
    </row>
    <row r="8" spans="1:29" ht="49" thickBot="1">
      <c r="M8" s="320" t="s">
        <v>125</v>
      </c>
      <c r="N8" s="320" t="s">
        <v>408</v>
      </c>
      <c r="P8" s="244"/>
      <c r="Q8" s="319"/>
      <c r="R8" s="244"/>
      <c r="S8" s="244"/>
      <c r="T8" s="244"/>
      <c r="U8" s="244"/>
      <c r="V8" s="244"/>
    </row>
    <row r="9" spans="1:29">
      <c r="A9" s="415" t="s">
        <v>67</v>
      </c>
      <c r="O9" s="244"/>
      <c r="P9" s="244"/>
      <c r="X9" s="266"/>
      <c r="Y9" s="266"/>
      <c r="Z9" s="266"/>
      <c r="AA9" s="266"/>
      <c r="AB9" s="266"/>
      <c r="AC9" s="266"/>
    </row>
    <row r="10" spans="1:29" ht="17" thickBot="1">
      <c r="A10" s="415"/>
      <c r="O10" s="292"/>
      <c r="P10" s="1041" t="s">
        <v>567</v>
      </c>
      <c r="Q10" s="1042"/>
      <c r="R10" s="1042"/>
      <c r="S10" s="1042"/>
      <c r="T10" s="1042"/>
      <c r="U10" s="1042"/>
      <c r="V10" s="1042"/>
      <c r="W10" s="1042"/>
      <c r="X10" s="5"/>
      <c r="Y10" s="5"/>
      <c r="Z10" s="5"/>
      <c r="AA10" s="5"/>
      <c r="AB10" s="5"/>
      <c r="AC10" s="5"/>
    </row>
    <row r="11" spans="1:29" ht="17" thickBot="1">
      <c r="A11" s="323" t="s">
        <v>127</v>
      </c>
      <c r="B11" s="234"/>
      <c r="C11" s="428" t="s">
        <v>480</v>
      </c>
      <c r="D11" s="429"/>
      <c r="E11" s="429"/>
      <c r="F11" s="429"/>
      <c r="G11" s="429"/>
      <c r="H11" s="429"/>
      <c r="I11" s="429"/>
      <c r="J11" s="429"/>
      <c r="K11" s="430"/>
      <c r="L11" s="239"/>
      <c r="M11" s="241">
        <v>3</v>
      </c>
      <c r="N11" s="321" t="s">
        <v>407</v>
      </c>
      <c r="O11" s="292"/>
      <c r="P11" s="244"/>
      <c r="Q11" s="433"/>
      <c r="R11" s="319"/>
      <c r="S11" s="319"/>
      <c r="T11" s="319"/>
      <c r="U11" s="319"/>
      <c r="V11" s="319"/>
      <c r="W11" s="268"/>
      <c r="X11" s="5"/>
      <c r="Y11" s="5"/>
      <c r="Z11" s="5"/>
      <c r="AA11" s="5"/>
      <c r="AB11" s="5"/>
      <c r="AC11" s="5"/>
    </row>
    <row r="12" spans="1:29" ht="16">
      <c r="A12" s="395" t="s">
        <v>488</v>
      </c>
      <c r="B12" s="396"/>
      <c r="C12" s="390" t="s">
        <v>785</v>
      </c>
      <c r="D12" s="431"/>
      <c r="E12" s="431"/>
      <c r="F12" s="431"/>
      <c r="G12" s="431"/>
      <c r="H12" s="431"/>
      <c r="I12" s="431"/>
      <c r="J12" s="431"/>
      <c r="K12" s="431"/>
      <c r="L12" s="433"/>
      <c r="M12" s="256"/>
      <c r="N12" s="244"/>
      <c r="O12" s="292"/>
      <c r="P12" s="457" t="s">
        <v>595</v>
      </c>
      <c r="Q12" s="433"/>
      <c r="R12" s="319"/>
      <c r="S12" s="319"/>
      <c r="T12" s="319"/>
      <c r="U12" s="319"/>
      <c r="V12" s="319"/>
      <c r="W12" s="268"/>
      <c r="X12" s="5"/>
      <c r="Y12" s="5"/>
      <c r="Z12" s="5"/>
      <c r="AA12" s="5"/>
      <c r="AB12" s="5"/>
      <c r="AC12" s="5"/>
    </row>
    <row r="13" spans="1:29">
      <c r="B13" s="242" t="s">
        <v>410</v>
      </c>
      <c r="C13" s="723" t="s">
        <v>786</v>
      </c>
      <c r="M13" s="225"/>
      <c r="N13" s="225"/>
      <c r="O13" s="292"/>
      <c r="P13" s="424" t="s">
        <v>480</v>
      </c>
      <c r="W13" s="268"/>
      <c r="X13" s="5"/>
      <c r="Y13" s="5"/>
      <c r="Z13" s="5"/>
      <c r="AA13" s="5"/>
      <c r="AB13" s="5"/>
      <c r="AC13" s="5"/>
    </row>
    <row r="14" spans="1:29" ht="16">
      <c r="B14" s="242" t="s">
        <v>410</v>
      </c>
      <c r="C14" s="720" t="s">
        <v>787</v>
      </c>
      <c r="M14" s="225"/>
      <c r="N14" s="225"/>
      <c r="O14" s="292"/>
      <c r="P14" s="395" t="s">
        <v>488</v>
      </c>
      <c r="Q14" s="390" t="s">
        <v>785</v>
      </c>
      <c r="W14" s="268"/>
      <c r="X14" s="5"/>
      <c r="Y14" s="5"/>
      <c r="Z14" s="5"/>
      <c r="AA14" s="5"/>
      <c r="AB14" s="5"/>
      <c r="AC14" s="5"/>
    </row>
    <row r="15" spans="1:29">
      <c r="B15" s="242" t="s">
        <v>410</v>
      </c>
      <c r="C15" s="720" t="s">
        <v>1315</v>
      </c>
      <c r="M15" s="225"/>
      <c r="N15" s="225"/>
      <c r="O15" s="292"/>
      <c r="P15" s="425" t="s">
        <v>410</v>
      </c>
      <c r="Q15" s="450" t="s">
        <v>786</v>
      </c>
      <c r="W15" s="268"/>
      <c r="X15" s="5"/>
      <c r="Y15" s="5"/>
      <c r="Z15" s="5"/>
      <c r="AA15" s="5"/>
      <c r="AB15" s="5"/>
      <c r="AC15" s="5"/>
    </row>
    <row r="16" spans="1:29">
      <c r="B16" s="242" t="s">
        <v>411</v>
      </c>
      <c r="C16" s="451" t="s">
        <v>788</v>
      </c>
      <c r="M16" s="225"/>
      <c r="N16" s="225"/>
      <c r="O16" s="292"/>
      <c r="P16" s="425" t="s">
        <v>410</v>
      </c>
      <c r="Q16" s="451" t="s">
        <v>787</v>
      </c>
      <c r="W16" s="268"/>
      <c r="X16" s="5"/>
      <c r="Y16" s="5"/>
      <c r="Z16" s="5"/>
      <c r="AA16" s="5"/>
      <c r="AB16" s="5"/>
      <c r="AC16" s="5"/>
    </row>
    <row r="17" spans="1:29">
      <c r="B17" s="242" t="s">
        <v>411</v>
      </c>
      <c r="C17" s="452" t="s">
        <v>789</v>
      </c>
      <c r="M17" s="225"/>
      <c r="N17" s="225"/>
      <c r="O17" s="292"/>
      <c r="P17" s="425" t="s">
        <v>410</v>
      </c>
      <c r="Q17" s="451" t="s">
        <v>1315</v>
      </c>
      <c r="W17" s="268"/>
      <c r="X17" s="5"/>
      <c r="Y17" s="5"/>
      <c r="Z17" s="5"/>
      <c r="AA17" s="5"/>
      <c r="AB17" s="5"/>
      <c r="AC17" s="5"/>
    </row>
    <row r="18" spans="1:29">
      <c r="B18" s="242" t="s">
        <v>411</v>
      </c>
      <c r="C18" s="452" t="s">
        <v>790</v>
      </c>
      <c r="M18" s="225"/>
      <c r="N18" s="225"/>
      <c r="O18" s="292"/>
      <c r="P18" s="425" t="s">
        <v>411</v>
      </c>
      <c r="Q18" s="451" t="s">
        <v>788</v>
      </c>
      <c r="W18" s="268"/>
      <c r="X18" s="5"/>
      <c r="Y18" s="5"/>
      <c r="Z18" s="5"/>
      <c r="AA18" s="5"/>
      <c r="AB18" s="5"/>
      <c r="AC18" s="5"/>
    </row>
    <row r="19" spans="1:29">
      <c r="B19" s="242" t="s">
        <v>130</v>
      </c>
      <c r="C19" s="454" t="s">
        <v>791</v>
      </c>
      <c r="M19" s="225"/>
      <c r="N19" s="225"/>
      <c r="O19" s="292"/>
      <c r="P19" s="425" t="s">
        <v>411</v>
      </c>
      <c r="Q19" s="452" t="s">
        <v>789</v>
      </c>
      <c r="W19" s="244"/>
      <c r="X19" s="244"/>
      <c r="Y19" s="244"/>
      <c r="Z19" s="244"/>
      <c r="AA19" s="244"/>
      <c r="AB19" s="244"/>
      <c r="AC19" s="244"/>
    </row>
    <row r="20" spans="1:29" ht="16" thickBot="1">
      <c r="M20" s="225"/>
      <c r="N20" s="225"/>
      <c r="O20" s="292"/>
      <c r="P20" s="425" t="s">
        <v>411</v>
      </c>
      <c r="Q20" s="452" t="s">
        <v>790</v>
      </c>
      <c r="W20" s="244"/>
      <c r="X20" s="244"/>
      <c r="Y20" s="244"/>
      <c r="Z20" s="244"/>
      <c r="AA20" s="244"/>
      <c r="AB20" s="244"/>
      <c r="AC20" s="244"/>
    </row>
    <row r="21" spans="1:29" ht="17" thickBot="1">
      <c r="A21" s="323" t="s">
        <v>128</v>
      </c>
      <c r="B21" s="234"/>
      <c r="C21" s="1038" t="s">
        <v>476</v>
      </c>
      <c r="D21" s="1039"/>
      <c r="E21" s="1039"/>
      <c r="F21" s="1039"/>
      <c r="G21" s="1039"/>
      <c r="H21" s="1039"/>
      <c r="I21" s="1039"/>
      <c r="J21" s="1039"/>
      <c r="K21" s="1039"/>
      <c r="L21" s="1039"/>
      <c r="M21" s="241">
        <v>3</v>
      </c>
      <c r="N21" s="321" t="s">
        <v>407</v>
      </c>
      <c r="O21" s="292"/>
      <c r="P21" s="424" t="s">
        <v>476</v>
      </c>
      <c r="Q21" s="376"/>
    </row>
    <row r="22" spans="1:29" ht="16">
      <c r="A22" s="395" t="s">
        <v>488</v>
      </c>
      <c r="B22" s="396"/>
      <c r="C22" s="390" t="s">
        <v>792</v>
      </c>
      <c r="D22" s="431"/>
      <c r="E22" s="431"/>
      <c r="F22" s="431"/>
      <c r="G22" s="431"/>
      <c r="H22" s="431"/>
      <c r="I22" s="431"/>
      <c r="J22" s="431"/>
      <c r="K22" s="431"/>
      <c r="L22" s="431"/>
      <c r="M22" s="256"/>
      <c r="N22" s="244"/>
      <c r="O22" s="292"/>
      <c r="P22" s="395" t="s">
        <v>488</v>
      </c>
      <c r="Q22" s="390" t="s">
        <v>792</v>
      </c>
    </row>
    <row r="23" spans="1:29">
      <c r="B23" s="242" t="s">
        <v>410</v>
      </c>
      <c r="C23" s="715" t="s">
        <v>793</v>
      </c>
      <c r="M23" s="225"/>
      <c r="N23" s="225"/>
      <c r="O23" s="292"/>
      <c r="P23" s="425" t="s">
        <v>410</v>
      </c>
      <c r="Q23" t="s">
        <v>793</v>
      </c>
    </row>
    <row r="24" spans="1:29">
      <c r="B24" s="242" t="s">
        <v>410</v>
      </c>
      <c r="C24" s="715" t="s">
        <v>794</v>
      </c>
      <c r="M24" s="225"/>
      <c r="N24" s="225"/>
      <c r="O24" s="292"/>
      <c r="P24" s="425" t="s">
        <v>410</v>
      </c>
      <c r="Q24" t="s">
        <v>794</v>
      </c>
    </row>
    <row r="25" spans="1:29">
      <c r="B25" s="242" t="s">
        <v>410</v>
      </c>
      <c r="C25" s="715" t="s">
        <v>795</v>
      </c>
      <c r="O25" s="292"/>
      <c r="P25" s="425" t="s">
        <v>410</v>
      </c>
      <c r="Q25" t="s">
        <v>795</v>
      </c>
    </row>
    <row r="26" spans="1:29">
      <c r="B26" s="242" t="s">
        <v>410</v>
      </c>
      <c r="C26" s="715" t="s">
        <v>796</v>
      </c>
      <c r="O26" s="292"/>
      <c r="P26" s="425" t="s">
        <v>410</v>
      </c>
      <c r="Q26" t="s">
        <v>796</v>
      </c>
    </row>
    <row r="27" spans="1:29">
      <c r="B27" s="242" t="s">
        <v>411</v>
      </c>
      <c r="C27" t="s">
        <v>797</v>
      </c>
      <c r="O27" s="292"/>
      <c r="P27" s="425" t="s">
        <v>411</v>
      </c>
      <c r="Q27" t="s">
        <v>797</v>
      </c>
    </row>
    <row r="28" spans="1:29">
      <c r="B28" s="242" t="s">
        <v>411</v>
      </c>
      <c r="C28" t="s">
        <v>798</v>
      </c>
      <c r="O28" s="292"/>
      <c r="P28" s="425" t="s">
        <v>411</v>
      </c>
      <c r="Q28" t="s">
        <v>798</v>
      </c>
    </row>
    <row r="29" spans="1:29">
      <c r="B29" s="242" t="s">
        <v>411</v>
      </c>
      <c r="C29" t="s">
        <v>799</v>
      </c>
      <c r="O29" s="292"/>
      <c r="P29" s="425" t="s">
        <v>411</v>
      </c>
      <c r="Q29" t="s">
        <v>799</v>
      </c>
    </row>
    <row r="30" spans="1:29">
      <c r="B30" s="242" t="s">
        <v>411</v>
      </c>
      <c r="C30" t="s">
        <v>800</v>
      </c>
      <c r="O30" s="292"/>
      <c r="P30" s="425" t="s">
        <v>411</v>
      </c>
      <c r="Q30" t="s">
        <v>800</v>
      </c>
    </row>
    <row r="31" spans="1:29">
      <c r="B31" s="242" t="s">
        <v>130</v>
      </c>
      <c r="C31" s="242" t="s">
        <v>801</v>
      </c>
      <c r="O31" s="292"/>
      <c r="P31" s="286"/>
      <c r="Q31"/>
    </row>
    <row r="32" spans="1:29" ht="16">
      <c r="B32" s="242"/>
      <c r="C32" s="242"/>
      <c r="O32" s="292"/>
      <c r="P32" s="457" t="s">
        <v>186</v>
      </c>
    </row>
    <row r="33" spans="1:17">
      <c r="A33" s="415" t="s">
        <v>489</v>
      </c>
      <c r="B33" s="242"/>
      <c r="C33" s="242"/>
      <c r="O33" s="292"/>
      <c r="P33" s="432" t="s">
        <v>808</v>
      </c>
    </row>
    <row r="34" spans="1:17" ht="16" thickBot="1">
      <c r="O34" s="292"/>
      <c r="P34" s="286" t="s">
        <v>809</v>
      </c>
    </row>
    <row r="35" spans="1:17" ht="17" thickBot="1">
      <c r="A35" s="1089" t="s">
        <v>127</v>
      </c>
      <c r="B35" s="1090"/>
      <c r="C35" s="1091" t="s">
        <v>491</v>
      </c>
      <c r="D35" s="1092"/>
      <c r="E35" s="1092"/>
      <c r="F35" s="1092"/>
      <c r="G35" s="1092"/>
      <c r="H35" s="1092"/>
      <c r="I35" s="1092"/>
      <c r="J35" s="1092"/>
      <c r="K35" s="1092"/>
      <c r="L35" s="1093"/>
      <c r="M35" s="453">
        <v>2</v>
      </c>
      <c r="N35" s="321" t="s">
        <v>409</v>
      </c>
      <c r="O35" s="292"/>
      <c r="P35" s="456" t="s">
        <v>810</v>
      </c>
      <c r="Q35" s="455"/>
    </row>
    <row r="36" spans="1:17">
      <c r="A36" s="244"/>
      <c r="B36" s="227" t="s">
        <v>410</v>
      </c>
      <c r="C36" s="719" t="s">
        <v>802</v>
      </c>
      <c r="D36" s="244"/>
      <c r="E36" s="244"/>
      <c r="F36" s="244"/>
      <c r="G36" s="244"/>
      <c r="H36" s="244"/>
      <c r="I36" s="244"/>
      <c r="J36" s="244"/>
      <c r="K36" s="244"/>
      <c r="L36" s="244"/>
      <c r="M36" s="244"/>
      <c r="N36" s="244"/>
      <c r="O36" s="292"/>
      <c r="P36" s="286"/>
    </row>
    <row r="37" spans="1:17">
      <c r="A37" s="244"/>
      <c r="B37" s="227" t="s">
        <v>411</v>
      </c>
      <c r="C37" s="375" t="s">
        <v>803</v>
      </c>
      <c r="D37" s="244"/>
      <c r="E37" s="244"/>
      <c r="F37" s="244"/>
      <c r="G37" s="244"/>
      <c r="H37" s="244"/>
      <c r="I37" s="244"/>
      <c r="J37" s="244"/>
      <c r="K37" s="244"/>
      <c r="L37" s="244"/>
      <c r="M37" s="244"/>
      <c r="N37" s="244"/>
      <c r="O37" s="292"/>
      <c r="P37" s="432" t="s">
        <v>811</v>
      </c>
    </row>
    <row r="38" spans="1:17">
      <c r="A38" s="244"/>
      <c r="B38" s="242" t="s">
        <v>130</v>
      </c>
      <c r="C38" s="377" t="s">
        <v>804</v>
      </c>
      <c r="D38" s="244"/>
      <c r="E38" s="244"/>
      <c r="F38" s="244"/>
      <c r="G38" s="244"/>
      <c r="H38" s="244"/>
      <c r="I38" s="244"/>
      <c r="J38" s="244"/>
      <c r="K38" s="244"/>
      <c r="L38" s="244"/>
      <c r="M38" s="244"/>
      <c r="N38" s="244"/>
      <c r="O38" s="292"/>
      <c r="P38" s="286" t="s">
        <v>812</v>
      </c>
    </row>
    <row r="39" spans="1:17" ht="16" thickBot="1">
      <c r="A39" s="244"/>
      <c r="B39" s="227"/>
      <c r="C39" s="244"/>
      <c r="D39" s="244"/>
      <c r="E39" s="244"/>
      <c r="F39" s="244"/>
      <c r="G39" s="244"/>
      <c r="H39" s="244"/>
      <c r="I39" s="244"/>
      <c r="J39" s="244"/>
      <c r="K39" s="244"/>
      <c r="L39" s="244"/>
      <c r="M39" s="244"/>
      <c r="N39" s="244"/>
      <c r="O39" s="292"/>
      <c r="P39" s="286" t="s">
        <v>813</v>
      </c>
    </row>
    <row r="40" spans="1:17" ht="17" thickBot="1">
      <c r="A40" s="1089" t="s">
        <v>128</v>
      </c>
      <c r="B40" s="1090"/>
      <c r="C40" s="1091" t="s">
        <v>492</v>
      </c>
      <c r="D40" s="1092"/>
      <c r="E40" s="1092"/>
      <c r="F40" s="1092"/>
      <c r="G40" s="1092"/>
      <c r="H40" s="1092"/>
      <c r="I40" s="1092"/>
      <c r="J40" s="1092"/>
      <c r="K40" s="1092"/>
      <c r="L40" s="1093"/>
      <c r="M40" s="453">
        <v>2</v>
      </c>
      <c r="N40" s="321" t="s">
        <v>409</v>
      </c>
      <c r="O40" s="292"/>
      <c r="P40" s="244"/>
    </row>
    <row r="41" spans="1:17">
      <c r="A41" s="244"/>
      <c r="B41" s="227" t="s">
        <v>410</v>
      </c>
      <c r="C41" s="719" t="s">
        <v>805</v>
      </c>
      <c r="D41" s="244"/>
      <c r="E41" s="244"/>
      <c r="F41" s="244"/>
      <c r="G41" s="244"/>
      <c r="H41" s="244"/>
      <c r="I41" s="244"/>
      <c r="J41" s="244"/>
      <c r="K41" s="244"/>
      <c r="L41" s="244"/>
      <c r="M41" s="244"/>
      <c r="N41" s="244"/>
      <c r="O41" s="292"/>
      <c r="P41" s="227" t="s">
        <v>814</v>
      </c>
    </row>
    <row r="42" spans="1:17">
      <c r="A42" s="244"/>
      <c r="B42" s="227" t="s">
        <v>411</v>
      </c>
      <c r="C42" s="375" t="s">
        <v>806</v>
      </c>
      <c r="D42" s="244"/>
      <c r="E42" s="244"/>
      <c r="F42" s="244"/>
      <c r="G42" s="244"/>
      <c r="H42" s="244"/>
      <c r="I42" s="244"/>
      <c r="J42" s="244"/>
      <c r="K42" s="244"/>
      <c r="L42" s="244"/>
      <c r="M42" s="244"/>
      <c r="N42" s="244"/>
      <c r="O42" s="292"/>
      <c r="P42" s="286" t="s">
        <v>815</v>
      </c>
    </row>
    <row r="43" spans="1:17">
      <c r="A43" s="244"/>
      <c r="B43" s="242" t="s">
        <v>130</v>
      </c>
      <c r="C43" s="377" t="s">
        <v>807</v>
      </c>
      <c r="D43" s="244"/>
      <c r="E43" s="244"/>
      <c r="F43" s="244"/>
      <c r="G43" s="244"/>
      <c r="H43" s="244"/>
      <c r="I43" s="244"/>
      <c r="J43" s="244"/>
      <c r="K43" s="244"/>
      <c r="L43" s="244"/>
      <c r="M43" s="244"/>
      <c r="N43" s="244"/>
      <c r="O43" s="292"/>
      <c r="P43" s="286" t="s">
        <v>816</v>
      </c>
    </row>
    <row r="44" spans="1:17">
      <c r="O44" s="292"/>
      <c r="P44" s="286" t="s">
        <v>817</v>
      </c>
    </row>
    <row r="45" spans="1:17">
      <c r="O45" s="292"/>
      <c r="P45" s="286" t="s">
        <v>818</v>
      </c>
    </row>
    <row r="46" spans="1:17">
      <c r="O46" s="292"/>
    </row>
    <row r="47" spans="1:17">
      <c r="O47" s="292"/>
      <c r="P47" s="377" t="s">
        <v>535</v>
      </c>
    </row>
    <row r="48" spans="1:17">
      <c r="O48" s="292"/>
      <c r="P48" s="454" t="s">
        <v>791</v>
      </c>
    </row>
    <row r="49" spans="15:16">
      <c r="O49" s="292"/>
      <c r="P49" s="242" t="s">
        <v>801</v>
      </c>
    </row>
    <row r="50" spans="15:16">
      <c r="O50" s="244"/>
      <c r="P50" s="244"/>
    </row>
    <row r="51" spans="15:16">
      <c r="O51" s="244"/>
      <c r="P51" s="244"/>
    </row>
    <row r="52" spans="15:16">
      <c r="O52" s="244"/>
      <c r="P52" s="244"/>
    </row>
    <row r="53" spans="15:16">
      <c r="O53" s="244"/>
      <c r="P53" s="244"/>
    </row>
    <row r="54" spans="15:16">
      <c r="O54" s="244"/>
      <c r="P54" s="244"/>
    </row>
    <row r="55" spans="15:16">
      <c r="O55" s="244"/>
      <c r="P55" s="244"/>
    </row>
    <row r="56" spans="15:16">
      <c r="O56" s="244"/>
      <c r="P56" s="244"/>
    </row>
    <row r="57" spans="15:16">
      <c r="O57" s="244"/>
      <c r="P57" s="244"/>
    </row>
    <row r="58" spans="15:16">
      <c r="O58" s="244"/>
      <c r="P58" s="244"/>
    </row>
  </sheetData>
  <mergeCells count="6">
    <mergeCell ref="P10:W10"/>
    <mergeCell ref="C21:L21"/>
    <mergeCell ref="A35:B35"/>
    <mergeCell ref="C35:L35"/>
    <mergeCell ref="A40:B40"/>
    <mergeCell ref="C40:L40"/>
  </mergeCells>
  <dataValidations disablePrompts="1" count="2">
    <dataValidation type="list" allowBlank="1" showInputMessage="1" showErrorMessage="1" sqref="B13:B18 B23:B30 B36:B37 B39 B41:B42 P15:P20 P23:P30" xr:uid="{00000000-0002-0000-2000-000000000000}">
      <formula1>Choix_capacité</formula1>
    </dataValidation>
    <dataValidation type="list" allowBlank="1" showInputMessage="1" showErrorMessage="1" sqref="N11:N12 N21:N22" xr:uid="{00000000-0002-0000-2000-000001000000}">
      <formula1>choix</formula1>
    </dataValidation>
  </dataValidations>
  <pageMargins left="0.7" right="0.7" top="0.75" bottom="0.75" header="0.3" footer="0.3"/>
  <pageSetup paperSize="9" orientation="portrait" verticalDpi="0"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4">
    <tabColor theme="7"/>
  </sheetPr>
  <dimension ref="A3:AG69"/>
  <sheetViews>
    <sheetView zoomScale="80" zoomScaleNormal="80" workbookViewId="0">
      <selection activeCell="C9" sqref="C9"/>
    </sheetView>
  </sheetViews>
  <sheetFormatPr baseColWidth="10" defaultColWidth="11.5" defaultRowHeight="15"/>
  <cols>
    <col min="1" max="1" width="11.5" style="467"/>
    <col min="2" max="2" width="13.6640625" style="467" customWidth="1"/>
    <col min="3" max="3" width="17.6640625" style="467" customWidth="1"/>
    <col min="4" max="12" width="11.5" style="467"/>
    <col min="13" max="13" width="54.33203125" style="467" customWidth="1"/>
    <col min="14" max="14" width="2.5" style="467" customWidth="1"/>
    <col min="15" max="16" width="13.5" style="467" bestFit="1" customWidth="1"/>
    <col min="17" max="18" width="11.5" style="467"/>
    <col min="19" max="19" width="15.5" style="467" customWidth="1"/>
    <col min="20" max="22" width="11.5" style="467"/>
    <col min="23" max="23" width="19.1640625" style="467" customWidth="1"/>
    <col min="24" max="16384" width="11.5" style="467"/>
  </cols>
  <sheetData>
    <row r="3" spans="1:33" ht="16" thickBot="1"/>
    <row r="4" spans="1:33" ht="19">
      <c r="B4" s="327" t="s">
        <v>115</v>
      </c>
      <c r="C4" s="228" t="s">
        <v>126</v>
      </c>
      <c r="D4" s="229" t="s">
        <v>73</v>
      </c>
      <c r="E4" s="471" t="s">
        <v>436</v>
      </c>
      <c r="G4" s="260"/>
    </row>
    <row r="5" spans="1:33">
      <c r="C5" s="230" t="s">
        <v>55</v>
      </c>
      <c r="D5" s="231">
        <v>12</v>
      </c>
    </row>
    <row r="6" spans="1:33" ht="16" thickBot="1">
      <c r="C6" s="232" t="s">
        <v>62</v>
      </c>
      <c r="D6" s="460">
        <v>180</v>
      </c>
      <c r="Q6" s="481"/>
      <c r="R6" s="489"/>
      <c r="S6" s="489"/>
      <c r="T6" s="489"/>
      <c r="U6" s="489"/>
      <c r="V6" s="489"/>
      <c r="W6" s="489"/>
      <c r="X6" s="489"/>
      <c r="Y6" s="489"/>
      <c r="Z6" s="489"/>
      <c r="AA6" s="489"/>
      <c r="AB6" s="481"/>
      <c r="AC6" s="481"/>
      <c r="AD6" s="481"/>
      <c r="AE6" s="481"/>
      <c r="AF6" s="481"/>
      <c r="AG6" s="481"/>
    </row>
    <row r="7" spans="1:33" ht="16" thickBot="1">
      <c r="Q7" s="481"/>
      <c r="R7" s="489"/>
      <c r="S7" s="489"/>
      <c r="T7" s="489"/>
      <c r="U7" s="489"/>
      <c r="V7" s="489"/>
      <c r="W7" s="489"/>
      <c r="X7" s="489"/>
      <c r="Y7" s="489"/>
      <c r="Z7" s="489"/>
      <c r="AA7" s="489"/>
      <c r="AB7" s="481"/>
      <c r="AC7" s="481"/>
      <c r="AD7" s="481"/>
      <c r="AE7" s="481"/>
      <c r="AF7" s="481"/>
      <c r="AG7" s="481"/>
    </row>
    <row r="8" spans="1:33" ht="49" thickBot="1">
      <c r="O8" s="320" t="s">
        <v>125</v>
      </c>
      <c r="P8" s="320" t="s">
        <v>408</v>
      </c>
      <c r="Q8" s="550"/>
      <c r="R8" s="497"/>
      <c r="S8" s="531"/>
      <c r="T8" s="489"/>
      <c r="U8" s="489"/>
      <c r="V8" s="489"/>
      <c r="W8" s="489"/>
      <c r="X8" s="489"/>
      <c r="Y8" s="489"/>
      <c r="Z8" s="489"/>
      <c r="AA8" s="489"/>
      <c r="AB8" s="481"/>
      <c r="AC8" s="481"/>
      <c r="AD8" s="481"/>
      <c r="AE8" s="481"/>
      <c r="AF8" s="481"/>
      <c r="AG8" s="481"/>
    </row>
    <row r="9" spans="1:33" ht="17" thickBot="1">
      <c r="A9" s="493" t="s">
        <v>127</v>
      </c>
      <c r="B9" s="472"/>
      <c r="C9" s="473" t="s">
        <v>478</v>
      </c>
      <c r="D9" s="474"/>
      <c r="E9" s="474"/>
      <c r="F9" s="474"/>
      <c r="G9" s="474"/>
      <c r="H9" s="474"/>
      <c r="I9" s="474"/>
      <c r="J9" s="474"/>
      <c r="K9" s="474"/>
      <c r="L9" s="474"/>
      <c r="M9" s="474"/>
      <c r="N9" s="475"/>
      <c r="O9" s="478">
        <v>3</v>
      </c>
      <c r="P9" s="492"/>
      <c r="Q9" s="292"/>
      <c r="R9" s="1041" t="s">
        <v>567</v>
      </c>
      <c r="S9" s="1042"/>
      <c r="T9" s="1042"/>
      <c r="U9" s="1042"/>
      <c r="V9" s="1042"/>
      <c r="W9" s="1042"/>
      <c r="X9" s="1042"/>
      <c r="Y9" s="1042"/>
      <c r="Z9" s="489"/>
      <c r="AA9" s="489"/>
      <c r="AB9" s="481"/>
      <c r="AC9" s="481"/>
      <c r="AD9" s="481"/>
      <c r="AE9" s="481"/>
      <c r="AF9" s="481"/>
      <c r="AG9" s="481"/>
    </row>
    <row r="10" spans="1:33">
      <c r="B10" s="479" t="s">
        <v>410</v>
      </c>
      <c r="C10" s="724" t="s">
        <v>1073</v>
      </c>
      <c r="D10" s="551"/>
      <c r="E10" s="551"/>
      <c r="F10" s="551"/>
      <c r="G10" s="551"/>
      <c r="H10" s="551"/>
      <c r="I10" s="551"/>
      <c r="J10" s="551"/>
      <c r="K10" s="551"/>
      <c r="L10" s="551"/>
      <c r="M10" s="551"/>
      <c r="O10" s="470"/>
      <c r="Q10" s="292"/>
      <c r="R10" s="498" t="s">
        <v>529</v>
      </c>
      <c r="U10" s="489"/>
      <c r="V10" s="489"/>
      <c r="W10" s="489"/>
      <c r="X10" s="282"/>
      <c r="Y10" s="489"/>
      <c r="Z10" s="489"/>
      <c r="AA10" s="489"/>
      <c r="AB10" s="481"/>
      <c r="AC10" s="481"/>
      <c r="AD10" s="481"/>
      <c r="AE10" s="481"/>
      <c r="AF10" s="481"/>
      <c r="AG10" s="481"/>
    </row>
    <row r="11" spans="1:33">
      <c r="B11" s="479" t="s">
        <v>410</v>
      </c>
      <c r="C11" s="725" t="s">
        <v>1074</v>
      </c>
      <c r="D11" s="476"/>
      <c r="E11" s="476"/>
      <c r="F11" s="476"/>
      <c r="G11" s="476"/>
      <c r="H11" s="476"/>
      <c r="I11" s="476"/>
      <c r="J11" s="476"/>
      <c r="K11" s="476"/>
      <c r="L11" s="476"/>
      <c r="M11" s="476"/>
      <c r="O11" s="470"/>
      <c r="Q11" s="292"/>
      <c r="U11" s="489"/>
      <c r="V11" s="489"/>
      <c r="W11" s="489"/>
      <c r="X11" s="282"/>
      <c r="Y11" s="489"/>
      <c r="Z11" s="489"/>
      <c r="AA11" s="489"/>
      <c r="AB11" s="481"/>
      <c r="AC11" s="481"/>
      <c r="AD11" s="481"/>
      <c r="AE11" s="481"/>
      <c r="AF11" s="481"/>
      <c r="AG11" s="481"/>
    </row>
    <row r="12" spans="1:33">
      <c r="B12" s="479" t="s">
        <v>410</v>
      </c>
      <c r="C12" s="725" t="s">
        <v>1075</v>
      </c>
      <c r="D12" s="476"/>
      <c r="E12" s="476"/>
      <c r="F12" s="476"/>
      <c r="G12" s="476"/>
      <c r="H12" s="476"/>
      <c r="I12" s="476"/>
      <c r="J12" s="476"/>
      <c r="K12" s="476"/>
      <c r="L12" s="476"/>
      <c r="M12" s="476"/>
      <c r="O12" s="470"/>
      <c r="Q12" s="292"/>
      <c r="U12" s="489"/>
      <c r="V12" s="489"/>
      <c r="W12" s="489"/>
      <c r="X12" s="281"/>
      <c r="Y12" s="489"/>
      <c r="Z12" s="489"/>
      <c r="AA12" s="489"/>
      <c r="AB12" s="481"/>
      <c r="AC12" s="481"/>
      <c r="AD12" s="481"/>
      <c r="AE12" s="481"/>
      <c r="AF12" s="481"/>
      <c r="AG12" s="481"/>
    </row>
    <row r="13" spans="1:33">
      <c r="B13" s="479" t="s">
        <v>410</v>
      </c>
      <c r="C13" s="725" t="s">
        <v>1076</v>
      </c>
      <c r="D13" s="476"/>
      <c r="E13" s="476"/>
      <c r="F13" s="476"/>
      <c r="G13" s="476"/>
      <c r="H13" s="476"/>
      <c r="I13" s="476"/>
      <c r="J13" s="476"/>
      <c r="K13" s="476"/>
      <c r="L13" s="476"/>
      <c r="M13" s="476"/>
      <c r="O13" s="470"/>
      <c r="Q13" s="690"/>
      <c r="R13" s="1077" t="s">
        <v>478</v>
      </c>
      <c r="S13" s="1077"/>
      <c r="T13" s="1077"/>
      <c r="U13" s="1077"/>
      <c r="V13" s="1077"/>
      <c r="W13" s="1077"/>
      <c r="X13" s="1077"/>
      <c r="Y13" s="1077"/>
      <c r="Z13" s="1077"/>
      <c r="AA13" s="1077"/>
      <c r="AB13" s="1077"/>
      <c r="AC13" s="1077"/>
      <c r="AD13" s="680"/>
    </row>
    <row r="14" spans="1:33">
      <c r="B14" s="479" t="s">
        <v>411</v>
      </c>
      <c r="C14" s="504" t="s">
        <v>1077</v>
      </c>
      <c r="D14" s="504"/>
      <c r="E14" s="504"/>
      <c r="F14" s="504"/>
      <c r="G14" s="504"/>
      <c r="H14" s="504"/>
      <c r="I14" s="504"/>
      <c r="J14" s="504"/>
      <c r="K14" s="504"/>
      <c r="L14" s="504"/>
      <c r="M14" s="504"/>
      <c r="O14" s="470"/>
      <c r="Q14" s="690"/>
      <c r="R14" s="680"/>
      <c r="S14" s="671" t="s">
        <v>410</v>
      </c>
      <c r="T14" s="1070" t="s">
        <v>1073</v>
      </c>
      <c r="U14" s="1070"/>
      <c r="V14" s="1070"/>
      <c r="W14" s="1070"/>
      <c r="X14" s="1070"/>
      <c r="Y14" s="1070"/>
      <c r="Z14" s="1070"/>
      <c r="AA14" s="1070"/>
      <c r="AB14" s="1070"/>
      <c r="AC14" s="1070"/>
      <c r="AD14" s="1070"/>
    </row>
    <row r="15" spans="1:33">
      <c r="B15" s="479" t="s">
        <v>411</v>
      </c>
      <c r="C15" s="476" t="s">
        <v>1078</v>
      </c>
      <c r="D15" s="476"/>
      <c r="E15" s="476"/>
      <c r="F15" s="476"/>
      <c r="G15" s="476"/>
      <c r="H15" s="476"/>
      <c r="I15" s="476"/>
      <c r="J15" s="476"/>
      <c r="K15" s="476"/>
      <c r="L15" s="476"/>
      <c r="M15" s="476"/>
      <c r="Q15" s="690"/>
      <c r="R15" s="680"/>
      <c r="S15" s="671" t="s">
        <v>410</v>
      </c>
      <c r="T15" s="1070" t="s">
        <v>1074</v>
      </c>
      <c r="U15" s="1070"/>
      <c r="V15" s="1070"/>
      <c r="W15" s="1070"/>
      <c r="X15" s="1070"/>
      <c r="Y15" s="1070"/>
      <c r="Z15" s="1070"/>
      <c r="AA15" s="1070"/>
      <c r="AB15" s="1070"/>
      <c r="AC15" s="1070"/>
      <c r="AD15" s="1070"/>
    </row>
    <row r="16" spans="1:33">
      <c r="B16" s="479" t="s">
        <v>411</v>
      </c>
      <c r="C16" s="476" t="s">
        <v>1079</v>
      </c>
      <c r="D16" s="476"/>
      <c r="E16" s="476"/>
      <c r="F16" s="476"/>
      <c r="G16" s="476"/>
      <c r="H16" s="476"/>
      <c r="I16" s="476"/>
      <c r="J16" s="476"/>
      <c r="K16" s="476"/>
      <c r="L16" s="476"/>
      <c r="M16" s="476"/>
      <c r="Q16" s="690"/>
      <c r="R16" s="680"/>
      <c r="S16" s="671" t="s">
        <v>410</v>
      </c>
      <c r="T16" s="1070" t="s">
        <v>1075</v>
      </c>
      <c r="U16" s="1070"/>
      <c r="V16" s="1070"/>
      <c r="W16" s="1070"/>
      <c r="X16" s="1070"/>
      <c r="Y16" s="1070"/>
      <c r="Z16" s="1070"/>
      <c r="AA16" s="1070"/>
      <c r="AB16" s="1070"/>
      <c r="AC16" s="1070"/>
      <c r="AD16" s="1070"/>
    </row>
    <row r="17" spans="1:30">
      <c r="B17" s="479" t="s">
        <v>130</v>
      </c>
      <c r="C17" s="1095" t="s">
        <v>1080</v>
      </c>
      <c r="D17" s="1067"/>
      <c r="E17" s="1067"/>
      <c r="F17" s="1067"/>
      <c r="G17" s="1067"/>
      <c r="H17" s="1067"/>
      <c r="I17" s="1067"/>
      <c r="J17" s="1067"/>
      <c r="K17" s="1067"/>
      <c r="L17" s="1067"/>
      <c r="M17" s="1067"/>
      <c r="Q17" s="690"/>
      <c r="R17" s="680"/>
      <c r="S17" s="671" t="s">
        <v>410</v>
      </c>
      <c r="T17" s="1070" t="s">
        <v>1076</v>
      </c>
      <c r="U17" s="1070"/>
      <c r="V17" s="1070"/>
      <c r="W17" s="1070"/>
      <c r="X17" s="1070"/>
      <c r="Y17" s="1070"/>
      <c r="Z17" s="1070"/>
      <c r="AA17" s="1070"/>
      <c r="AB17" s="1070"/>
      <c r="AC17" s="1070"/>
      <c r="AD17" s="1070"/>
    </row>
    <row r="18" spans="1:30" ht="16" thickBot="1">
      <c r="Q18" s="690"/>
      <c r="R18" s="680"/>
      <c r="S18" s="671" t="s">
        <v>411</v>
      </c>
      <c r="T18" s="1096" t="s">
        <v>1077</v>
      </c>
      <c r="U18" s="1096"/>
      <c r="V18" s="1096"/>
      <c r="W18" s="1096"/>
      <c r="X18" s="1096"/>
      <c r="Y18" s="1096"/>
      <c r="Z18" s="1096"/>
      <c r="AA18" s="1096"/>
      <c r="AB18" s="1096"/>
      <c r="AC18" s="1096"/>
      <c r="AD18" s="1096"/>
    </row>
    <row r="19" spans="1:30" ht="17" thickBot="1">
      <c r="A19" s="493" t="s">
        <v>128</v>
      </c>
      <c r="B19" s="472"/>
      <c r="C19" s="1038" t="s">
        <v>71</v>
      </c>
      <c r="D19" s="1039"/>
      <c r="E19" s="1039"/>
      <c r="F19" s="1039"/>
      <c r="G19" s="1039"/>
      <c r="H19" s="1039"/>
      <c r="I19" s="1039"/>
      <c r="J19" s="1039"/>
      <c r="K19" s="1039"/>
      <c r="L19" s="1039"/>
      <c r="M19" s="1039"/>
      <c r="N19" s="1040"/>
      <c r="O19" s="478">
        <v>3</v>
      </c>
      <c r="P19" s="492"/>
      <c r="Q19" s="690"/>
      <c r="R19" s="680"/>
      <c r="S19" s="671" t="s">
        <v>411</v>
      </c>
      <c r="T19" s="1070" t="s">
        <v>1078</v>
      </c>
      <c r="U19" s="1070"/>
      <c r="V19" s="1070"/>
      <c r="W19" s="1070"/>
      <c r="X19" s="1070"/>
      <c r="Y19" s="1070"/>
      <c r="Z19" s="1070"/>
      <c r="AA19" s="1070"/>
      <c r="AB19" s="1070"/>
      <c r="AC19" s="1070"/>
      <c r="AD19" s="1070"/>
    </row>
    <row r="20" spans="1:30">
      <c r="B20" s="479" t="s">
        <v>410</v>
      </c>
      <c r="C20" s="1097" t="s">
        <v>1081</v>
      </c>
      <c r="D20" s="1097"/>
      <c r="E20" s="1097"/>
      <c r="F20" s="1097"/>
      <c r="G20" s="1097"/>
      <c r="H20" s="1097"/>
      <c r="I20" s="1097"/>
      <c r="J20" s="1097"/>
      <c r="K20" s="1097"/>
      <c r="L20" s="1097"/>
      <c r="M20" s="1097"/>
      <c r="O20" s="470"/>
      <c r="Q20" s="690"/>
      <c r="R20" s="680"/>
      <c r="S20" s="671" t="s">
        <v>411</v>
      </c>
      <c r="T20" s="1070" t="s">
        <v>1079</v>
      </c>
      <c r="U20" s="1070"/>
      <c r="V20" s="1070"/>
      <c r="W20" s="1070"/>
      <c r="X20" s="1070"/>
      <c r="Y20" s="1070"/>
      <c r="Z20" s="1070"/>
      <c r="AA20" s="1070"/>
      <c r="AB20" s="1070"/>
      <c r="AC20" s="1070"/>
      <c r="AD20" s="1070"/>
    </row>
    <row r="21" spans="1:30">
      <c r="B21" s="479" t="s">
        <v>410</v>
      </c>
      <c r="C21" s="1094" t="s">
        <v>1228</v>
      </c>
      <c r="D21" s="1094"/>
      <c r="E21" s="1094"/>
      <c r="F21" s="1094"/>
      <c r="G21" s="1094"/>
      <c r="H21" s="1094"/>
      <c r="I21" s="1094"/>
      <c r="J21" s="1094"/>
      <c r="K21" s="1094"/>
      <c r="L21" s="1094"/>
      <c r="M21" s="1094"/>
      <c r="O21" s="470"/>
      <c r="Q21" s="690"/>
      <c r="R21" s="680"/>
      <c r="S21" s="680"/>
      <c r="T21" s="680"/>
      <c r="U21" s="680"/>
      <c r="V21" s="680"/>
      <c r="W21" s="680"/>
      <c r="X21" s="680"/>
      <c r="Y21" s="680"/>
      <c r="Z21" s="680"/>
      <c r="AA21" s="680"/>
      <c r="AB21" s="680"/>
      <c r="AC21" s="680"/>
      <c r="AD21" s="680"/>
    </row>
    <row r="22" spans="1:30">
      <c r="B22" s="479" t="s">
        <v>411</v>
      </c>
      <c r="C22" s="1067" t="s">
        <v>1083</v>
      </c>
      <c r="D22" s="1067"/>
      <c r="E22" s="1067"/>
      <c r="F22" s="1067"/>
      <c r="G22" s="1067"/>
      <c r="H22" s="1067"/>
      <c r="I22" s="1067"/>
      <c r="J22" s="1067"/>
      <c r="K22" s="1067"/>
      <c r="L22" s="1067"/>
      <c r="M22" s="1067"/>
      <c r="O22" s="470"/>
      <c r="Q22" s="690"/>
      <c r="R22" s="1077" t="s">
        <v>71</v>
      </c>
      <c r="S22" s="1077"/>
      <c r="T22" s="1077"/>
      <c r="U22" s="1077"/>
      <c r="V22" s="1077"/>
      <c r="W22" s="1077"/>
      <c r="X22" s="1077"/>
      <c r="Y22" s="1077"/>
      <c r="Z22" s="1077"/>
      <c r="AA22" s="1077"/>
      <c r="AB22" s="1077"/>
      <c r="AC22" s="1077"/>
      <c r="AD22" s="680"/>
    </row>
    <row r="23" spans="1:30" ht="15.75" customHeight="1">
      <c r="B23" s="479" t="s">
        <v>411</v>
      </c>
      <c r="C23" s="1067" t="s">
        <v>1084</v>
      </c>
      <c r="D23" s="1067"/>
      <c r="E23" s="1067"/>
      <c r="F23" s="1067"/>
      <c r="G23" s="1067"/>
      <c r="H23" s="1067"/>
      <c r="I23" s="1067"/>
      <c r="J23" s="1067"/>
      <c r="K23" s="1067"/>
      <c r="L23" s="1067"/>
      <c r="M23" s="1067"/>
      <c r="Q23" s="690"/>
      <c r="R23" s="680"/>
      <c r="S23" s="671" t="s">
        <v>410</v>
      </c>
      <c r="T23" s="1070" t="s">
        <v>1081</v>
      </c>
      <c r="U23" s="1070"/>
      <c r="V23" s="1070"/>
      <c r="W23" s="1070"/>
      <c r="X23" s="1070"/>
      <c r="Y23" s="1070"/>
      <c r="Z23" s="1070"/>
      <c r="AA23" s="1070"/>
      <c r="AB23" s="1070"/>
      <c r="AC23" s="1070"/>
      <c r="AD23" s="1070"/>
    </row>
    <row r="24" spans="1:30" ht="15.75" customHeight="1">
      <c r="B24" s="479" t="s">
        <v>130</v>
      </c>
      <c r="C24" s="1095" t="s">
        <v>1085</v>
      </c>
      <c r="D24" s="1067"/>
      <c r="E24" s="1067"/>
      <c r="F24" s="1067"/>
      <c r="G24" s="1067"/>
      <c r="H24" s="1067"/>
      <c r="I24" s="1067"/>
      <c r="J24" s="1067"/>
      <c r="K24" s="1067"/>
      <c r="L24" s="1067"/>
      <c r="M24" s="1067"/>
      <c r="Q24" s="690"/>
      <c r="R24" s="680"/>
      <c r="S24" s="671" t="s">
        <v>410</v>
      </c>
      <c r="T24" s="1070" t="s">
        <v>1082</v>
      </c>
      <c r="U24" s="1070"/>
      <c r="V24" s="1070"/>
      <c r="W24" s="1070"/>
      <c r="X24" s="1070"/>
      <c r="Y24" s="1070"/>
      <c r="Z24" s="1070"/>
      <c r="AA24" s="1070"/>
      <c r="AB24" s="1070"/>
      <c r="AC24" s="1070"/>
      <c r="AD24" s="1070"/>
    </row>
    <row r="25" spans="1:30" ht="15" customHeight="1" thickBot="1">
      <c r="Q25" s="690"/>
      <c r="R25" s="680"/>
      <c r="S25" s="671" t="s">
        <v>411</v>
      </c>
      <c r="T25" s="1070" t="s">
        <v>1083</v>
      </c>
      <c r="U25" s="1070"/>
      <c r="V25" s="1070"/>
      <c r="W25" s="1070"/>
      <c r="X25" s="1070"/>
      <c r="Y25" s="1070"/>
      <c r="Z25" s="1070"/>
      <c r="AA25" s="1070"/>
      <c r="AB25" s="1070"/>
      <c r="AC25" s="1070"/>
      <c r="AD25" s="1070"/>
    </row>
    <row r="26" spans="1:30" ht="15" customHeight="1" thickBot="1">
      <c r="A26" s="493" t="s">
        <v>129</v>
      </c>
      <c r="B26" s="472"/>
      <c r="C26" s="1038" t="s">
        <v>479</v>
      </c>
      <c r="D26" s="1039"/>
      <c r="E26" s="1039"/>
      <c r="F26" s="1039"/>
      <c r="G26" s="1039"/>
      <c r="H26" s="1039"/>
      <c r="I26" s="1039"/>
      <c r="J26" s="1039"/>
      <c r="K26" s="1039"/>
      <c r="L26" s="1039"/>
      <c r="M26" s="1039"/>
      <c r="N26" s="1040"/>
      <c r="O26" s="478">
        <v>2</v>
      </c>
      <c r="P26" s="492"/>
      <c r="Q26" s="690"/>
      <c r="R26" s="680"/>
      <c r="S26" s="671" t="s">
        <v>411</v>
      </c>
      <c r="T26" s="1070" t="s">
        <v>1084</v>
      </c>
      <c r="U26" s="1070"/>
      <c r="V26" s="1070"/>
      <c r="W26" s="1070"/>
      <c r="X26" s="1070"/>
      <c r="Y26" s="1070"/>
      <c r="Z26" s="1070"/>
      <c r="AA26" s="1070"/>
      <c r="AB26" s="1070"/>
      <c r="AC26" s="1070"/>
      <c r="AD26" s="1070"/>
    </row>
    <row r="27" spans="1:30">
      <c r="B27" s="479" t="s">
        <v>410</v>
      </c>
      <c r="C27" s="1097" t="s">
        <v>1086</v>
      </c>
      <c r="D27" s="1097"/>
      <c r="E27" s="1097"/>
      <c r="F27" s="1097"/>
      <c r="G27" s="1097"/>
      <c r="H27" s="1097"/>
      <c r="I27" s="1097"/>
      <c r="J27" s="1097"/>
      <c r="K27" s="1097"/>
      <c r="L27" s="1097"/>
      <c r="M27" s="1097"/>
      <c r="O27" s="470"/>
      <c r="Q27" s="690"/>
      <c r="R27" s="680"/>
      <c r="S27" s="680"/>
      <c r="T27" s="680"/>
      <c r="U27" s="680"/>
      <c r="V27" s="680"/>
      <c r="W27" s="680"/>
      <c r="X27" s="680"/>
      <c r="Y27" s="680"/>
      <c r="Z27" s="680"/>
      <c r="AA27" s="680"/>
      <c r="AB27" s="680"/>
      <c r="AC27" s="680"/>
      <c r="AD27" s="680"/>
    </row>
    <row r="28" spans="1:30">
      <c r="B28" s="479" t="s">
        <v>410</v>
      </c>
      <c r="C28" s="1094" t="s">
        <v>1087</v>
      </c>
      <c r="D28" s="1094"/>
      <c r="E28" s="1094"/>
      <c r="F28" s="1094"/>
      <c r="G28" s="1094"/>
      <c r="H28" s="1094"/>
      <c r="I28" s="1094"/>
      <c r="J28" s="1094"/>
      <c r="K28" s="1094"/>
      <c r="L28" s="1094"/>
      <c r="M28" s="1094"/>
      <c r="O28" s="470"/>
      <c r="Q28" s="690"/>
      <c r="R28" s="1077" t="s">
        <v>479</v>
      </c>
      <c r="S28" s="1077"/>
      <c r="T28" s="1077"/>
      <c r="U28" s="1077"/>
      <c r="V28" s="1077"/>
      <c r="W28" s="1077"/>
      <c r="X28" s="1077"/>
      <c r="Y28" s="1077"/>
      <c r="Z28" s="1077"/>
      <c r="AA28" s="1077"/>
      <c r="AB28" s="1077"/>
      <c r="AC28" s="1077"/>
      <c r="AD28" s="680"/>
    </row>
    <row r="29" spans="1:30">
      <c r="B29" s="479" t="s">
        <v>410</v>
      </c>
      <c r="C29" s="1094" t="s">
        <v>1088</v>
      </c>
      <c r="D29" s="1094"/>
      <c r="E29" s="1094"/>
      <c r="F29" s="1094"/>
      <c r="G29" s="1094"/>
      <c r="H29" s="1094"/>
      <c r="I29" s="1094"/>
      <c r="J29" s="1094"/>
      <c r="K29" s="1094"/>
      <c r="L29" s="1094"/>
      <c r="M29" s="1094"/>
      <c r="Q29" s="690"/>
      <c r="R29" s="680"/>
      <c r="S29" s="671" t="s">
        <v>410</v>
      </c>
      <c r="T29" s="1070" t="s">
        <v>1086</v>
      </c>
      <c r="U29" s="1070"/>
      <c r="V29" s="1070"/>
      <c r="W29" s="1070"/>
      <c r="X29" s="1070"/>
      <c r="Y29" s="1070"/>
      <c r="Z29" s="1070"/>
      <c r="AA29" s="1070"/>
      <c r="AB29" s="1070"/>
      <c r="AC29" s="1070"/>
      <c r="AD29" s="1070"/>
    </row>
    <row r="30" spans="1:30">
      <c r="B30" s="479" t="s">
        <v>411</v>
      </c>
      <c r="C30" s="1067" t="s">
        <v>1089</v>
      </c>
      <c r="D30" s="1067"/>
      <c r="E30" s="1067"/>
      <c r="F30" s="1067"/>
      <c r="G30" s="1067"/>
      <c r="H30" s="1067"/>
      <c r="I30" s="1067"/>
      <c r="J30" s="1067"/>
      <c r="K30" s="1067"/>
      <c r="L30" s="1067"/>
      <c r="M30" s="1067"/>
      <c r="Q30" s="693"/>
      <c r="R30" s="680"/>
      <c r="S30" s="671" t="s">
        <v>410</v>
      </c>
      <c r="T30" s="1098" t="s">
        <v>1087</v>
      </c>
      <c r="U30" s="1098"/>
      <c r="V30" s="1098"/>
      <c r="W30" s="1098"/>
      <c r="X30" s="1098"/>
      <c r="Y30" s="1098"/>
      <c r="Z30" s="1098"/>
      <c r="AA30" s="1098"/>
      <c r="AB30" s="1098"/>
      <c r="AC30" s="1098"/>
      <c r="AD30" s="1098"/>
    </row>
    <row r="31" spans="1:30">
      <c r="B31" s="479" t="s">
        <v>130</v>
      </c>
      <c r="C31" s="1095" t="s">
        <v>1090</v>
      </c>
      <c r="D31" s="1067"/>
      <c r="E31" s="1067"/>
      <c r="F31" s="1067"/>
      <c r="G31" s="1067"/>
      <c r="H31" s="1067"/>
      <c r="I31" s="1067"/>
      <c r="J31" s="1067"/>
      <c r="K31" s="1067"/>
      <c r="L31" s="1067"/>
      <c r="M31" s="1067"/>
      <c r="Q31" s="690"/>
      <c r="R31" s="680"/>
      <c r="S31" s="671" t="s">
        <v>410</v>
      </c>
      <c r="T31" s="1070" t="s">
        <v>1088</v>
      </c>
      <c r="U31" s="1070"/>
      <c r="V31" s="1070"/>
      <c r="W31" s="1070"/>
      <c r="X31" s="1070"/>
      <c r="Y31" s="1070"/>
      <c r="Z31" s="1070"/>
      <c r="AA31" s="1070"/>
      <c r="AB31" s="1070"/>
      <c r="AC31" s="1070"/>
      <c r="AD31" s="1070"/>
    </row>
    <row r="32" spans="1:30">
      <c r="Q32" s="690"/>
      <c r="R32" s="680"/>
      <c r="S32" s="671" t="s">
        <v>411</v>
      </c>
      <c r="T32" s="1070" t="s">
        <v>1089</v>
      </c>
      <c r="U32" s="1070"/>
      <c r="V32" s="1070"/>
      <c r="W32" s="1070"/>
      <c r="X32" s="1070"/>
      <c r="Y32" s="1070"/>
      <c r="Z32" s="1070"/>
      <c r="AA32" s="1070"/>
      <c r="AB32" s="1070"/>
      <c r="AC32" s="1070"/>
      <c r="AD32" s="1070"/>
    </row>
    <row r="33" spans="17:23">
      <c r="Q33" s="292"/>
    </row>
    <row r="34" spans="17:23">
      <c r="Q34" s="292"/>
    </row>
    <row r="35" spans="17:23">
      <c r="Q35" s="292"/>
    </row>
    <row r="36" spans="17:23">
      <c r="Q36" s="292"/>
    </row>
    <row r="37" spans="17:23">
      <c r="Q37" s="292"/>
    </row>
    <row r="38" spans="17:23">
      <c r="Q38" s="292"/>
      <c r="R38" s="499" t="s">
        <v>186</v>
      </c>
    </row>
    <row r="39" spans="17:23">
      <c r="Q39" s="292"/>
    </row>
    <row r="40" spans="17:23">
      <c r="Q40" s="292"/>
      <c r="R40" s="288" t="s">
        <v>437</v>
      </c>
    </row>
    <row r="41" spans="17:23">
      <c r="Q41" s="292"/>
      <c r="R41" s="301" t="s">
        <v>1091</v>
      </c>
      <c r="S41" s="479"/>
      <c r="T41" s="479"/>
      <c r="U41" s="479"/>
      <c r="V41" s="479"/>
      <c r="W41" s="479"/>
    </row>
    <row r="42" spans="17:23">
      <c r="Q42" s="292"/>
      <c r="R42" s="290" t="s">
        <v>438</v>
      </c>
    </row>
    <row r="43" spans="17:23" ht="15" customHeight="1">
      <c r="Q43" s="292"/>
      <c r="R43" s="290" t="s">
        <v>439</v>
      </c>
    </row>
    <row r="44" spans="17:23">
      <c r="Q44" s="292"/>
      <c r="R44" s="290" t="s">
        <v>448</v>
      </c>
    </row>
    <row r="45" spans="17:23" ht="15" customHeight="1">
      <c r="Q45" s="292"/>
      <c r="R45" s="302" t="s">
        <v>440</v>
      </c>
    </row>
    <row r="46" spans="17:23">
      <c r="Q46" s="292"/>
      <c r="R46" s="301" t="s">
        <v>1092</v>
      </c>
    </row>
    <row r="47" spans="17:23">
      <c r="Q47" s="292"/>
      <c r="R47" s="290" t="s">
        <v>449</v>
      </c>
    </row>
    <row r="48" spans="17:23">
      <c r="Q48" s="292"/>
      <c r="R48" s="290" t="s">
        <v>441</v>
      </c>
    </row>
    <row r="49" spans="17:29">
      <c r="Q49" s="292"/>
      <c r="R49" s="288" t="s">
        <v>1093</v>
      </c>
      <c r="S49" s="249"/>
    </row>
    <row r="50" spans="17:29">
      <c r="Q50" s="292"/>
      <c r="R50" s="290" t="s">
        <v>442</v>
      </c>
      <c r="S50" s="249"/>
    </row>
    <row r="51" spans="17:29">
      <c r="Q51" s="292"/>
      <c r="R51" s="290" t="s">
        <v>443</v>
      </c>
      <c r="S51" s="249"/>
    </row>
    <row r="52" spans="17:29">
      <c r="Q52" s="292"/>
      <c r="R52" s="290" t="s">
        <v>444</v>
      </c>
    </row>
    <row r="53" spans="17:29">
      <c r="Q53" s="292"/>
      <c r="R53" s="290" t="s">
        <v>445</v>
      </c>
    </row>
    <row r="54" spans="17:29">
      <c r="Q54" s="292"/>
      <c r="R54" s="471" t="s">
        <v>1094</v>
      </c>
    </row>
    <row r="55" spans="17:29">
      <c r="Q55" s="292"/>
      <c r="R55" s="290" t="s">
        <v>446</v>
      </c>
    </row>
    <row r="56" spans="17:29">
      <c r="Q56" s="292"/>
      <c r="R56" s="290" t="s">
        <v>447</v>
      </c>
    </row>
    <row r="57" spans="17:29">
      <c r="Q57" s="292"/>
      <c r="R57" s="301" t="s">
        <v>1095</v>
      </c>
    </row>
    <row r="58" spans="17:29">
      <c r="Q58" s="292"/>
      <c r="R58" s="290"/>
    </row>
    <row r="59" spans="17:29">
      <c r="Q59" s="292"/>
      <c r="R59" s="290"/>
    </row>
    <row r="60" spans="17:29" ht="15.75" customHeight="1">
      <c r="Q60" s="304"/>
      <c r="R60" s="497" t="s">
        <v>535</v>
      </c>
    </row>
    <row r="61" spans="17:29">
      <c r="Q61" s="292"/>
      <c r="R61" s="290"/>
      <c r="S61" s="1095" t="s">
        <v>1080</v>
      </c>
      <c r="T61" s="1067"/>
      <c r="U61" s="1067"/>
      <c r="V61" s="1067"/>
      <c r="W61" s="1067"/>
      <c r="X61" s="1067"/>
      <c r="Y61" s="1067"/>
      <c r="Z61" s="1067"/>
      <c r="AA61" s="1067"/>
      <c r="AB61" s="1067"/>
      <c r="AC61" s="1067"/>
    </row>
    <row r="62" spans="17:29">
      <c r="Q62" s="292"/>
      <c r="R62" s="289"/>
      <c r="S62" s="1095" t="s">
        <v>1085</v>
      </c>
      <c r="T62" s="1067"/>
      <c r="U62" s="1067"/>
      <c r="V62" s="1067"/>
      <c r="W62" s="1067"/>
      <c r="X62" s="1067"/>
      <c r="Y62" s="1067"/>
      <c r="Z62" s="1067"/>
      <c r="AA62" s="1067"/>
      <c r="AB62" s="1067"/>
      <c r="AC62" s="1067"/>
    </row>
    <row r="63" spans="17:29">
      <c r="Q63" s="292"/>
      <c r="R63" s="290"/>
      <c r="S63" s="1095" t="s">
        <v>1090</v>
      </c>
      <c r="T63" s="1067"/>
      <c r="U63" s="1067"/>
      <c r="V63" s="1067"/>
      <c r="W63" s="1067"/>
      <c r="X63" s="1067"/>
      <c r="Y63" s="1067"/>
      <c r="Z63" s="1067"/>
      <c r="AA63" s="1067"/>
      <c r="AB63" s="1067"/>
      <c r="AC63" s="1067"/>
    </row>
    <row r="64" spans="17:29">
      <c r="Q64" s="292"/>
      <c r="R64" s="290"/>
      <c r="S64" s="552" t="s">
        <v>1096</v>
      </c>
    </row>
    <row r="65" spans="17:18">
      <c r="Q65" s="292"/>
      <c r="R65" s="290"/>
    </row>
    <row r="66" spans="17:18">
      <c r="Q66" s="292"/>
      <c r="R66" s="290"/>
    </row>
    <row r="67" spans="17:18">
      <c r="Q67" s="292"/>
      <c r="R67" s="290"/>
    </row>
    <row r="68" spans="17:18">
      <c r="Q68" s="292"/>
      <c r="R68" s="290"/>
    </row>
    <row r="69" spans="17:18">
      <c r="Q69" s="481"/>
      <c r="R69" s="286"/>
    </row>
  </sheetData>
  <mergeCells count="35">
    <mergeCell ref="S63:AC63"/>
    <mergeCell ref="C30:M30"/>
    <mergeCell ref="T32:AD32"/>
    <mergeCell ref="C31:M31"/>
    <mergeCell ref="S61:AC61"/>
    <mergeCell ref="T31:AD31"/>
    <mergeCell ref="T29:AD29"/>
    <mergeCell ref="C28:M28"/>
    <mergeCell ref="T30:AD30"/>
    <mergeCell ref="C29:M29"/>
    <mergeCell ref="S62:AC62"/>
    <mergeCell ref="T25:AD25"/>
    <mergeCell ref="C24:M24"/>
    <mergeCell ref="T26:AD26"/>
    <mergeCell ref="C26:N26"/>
    <mergeCell ref="R28:AC28"/>
    <mergeCell ref="C27:M27"/>
    <mergeCell ref="R22:AC22"/>
    <mergeCell ref="C22:M22"/>
    <mergeCell ref="T23:AD23"/>
    <mergeCell ref="C23:M23"/>
    <mergeCell ref="T24:AD24"/>
    <mergeCell ref="C21:M21"/>
    <mergeCell ref="R9:Y9"/>
    <mergeCell ref="R13:AC13"/>
    <mergeCell ref="T14:AD14"/>
    <mergeCell ref="T15:AD15"/>
    <mergeCell ref="T16:AD16"/>
    <mergeCell ref="C17:M17"/>
    <mergeCell ref="T17:AD17"/>
    <mergeCell ref="T18:AD18"/>
    <mergeCell ref="C19:N19"/>
    <mergeCell ref="T19:AD19"/>
    <mergeCell ref="C20:M20"/>
    <mergeCell ref="T20:AD20"/>
  </mergeCells>
  <dataValidations count="2">
    <dataValidation type="list" allowBlank="1" showInputMessage="1" showErrorMessage="1" sqref="P19 P26 P9" xr:uid="{00000000-0002-0000-2100-000000000000}">
      <formula1>choix</formula1>
    </dataValidation>
    <dataValidation type="list" allowBlank="1" showInputMessage="1" showErrorMessage="1" sqref="S23:S26 S29:S32 B27:B30 B10:B16 S14:S20 B20:B23" xr:uid="{00000000-0002-0000-2100-000001000000}">
      <formula1>Choix_capacité</formula1>
    </dataValidation>
  </dataValidations>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5">
    <tabColor theme="7"/>
  </sheetPr>
  <dimension ref="A3:W49"/>
  <sheetViews>
    <sheetView zoomScale="80" zoomScaleNormal="80" workbookViewId="0">
      <selection activeCell="P12" sqref="P12"/>
    </sheetView>
  </sheetViews>
  <sheetFormatPr baseColWidth="10" defaultRowHeight="15"/>
  <cols>
    <col min="2" max="2" width="13.6640625" customWidth="1"/>
    <col min="3" max="3" width="17.6640625" customWidth="1"/>
    <col min="14" max="14" width="3.5" customWidth="1"/>
    <col min="15" max="16" width="13.5" bestFit="1" customWidth="1"/>
  </cols>
  <sheetData>
    <row r="3" spans="1:23" ht="16" thickBot="1"/>
    <row r="4" spans="1:23" ht="19">
      <c r="B4" s="327" t="s">
        <v>115</v>
      </c>
      <c r="C4" s="228" t="s">
        <v>126</v>
      </c>
      <c r="D4" s="229" t="s">
        <v>451</v>
      </c>
      <c r="E4" s="227" t="s">
        <v>450</v>
      </c>
      <c r="G4" s="260"/>
    </row>
    <row r="5" spans="1:23">
      <c r="C5" s="230" t="s">
        <v>55</v>
      </c>
      <c r="D5" s="231">
        <v>12</v>
      </c>
    </row>
    <row r="6" spans="1:23" ht="16" thickBot="1">
      <c r="C6" s="232" t="s">
        <v>62</v>
      </c>
      <c r="D6" s="315">
        <v>180</v>
      </c>
    </row>
    <row r="7" spans="1:23" ht="16" thickBot="1">
      <c r="Q7" s="244"/>
      <c r="R7" s="244"/>
      <c r="V7" s="326"/>
      <c r="W7" s="326"/>
    </row>
    <row r="8" spans="1:23" ht="49" thickBot="1">
      <c r="O8" s="320" t="s">
        <v>125</v>
      </c>
      <c r="P8" s="320" t="s">
        <v>408</v>
      </c>
      <c r="Q8" s="244"/>
    </row>
    <row r="9" spans="1:23" ht="16" thickBot="1">
      <c r="Q9" s="244"/>
      <c r="R9" s="297" t="s">
        <v>183</v>
      </c>
      <c r="S9" s="294"/>
    </row>
    <row r="10" spans="1:23" ht="17" thickBot="1">
      <c r="A10" s="323" t="s">
        <v>127</v>
      </c>
      <c r="B10" s="234"/>
      <c r="C10" s="316" t="s">
        <v>480</v>
      </c>
      <c r="D10" s="317"/>
      <c r="E10" s="317"/>
      <c r="F10" s="317"/>
      <c r="G10" s="317"/>
      <c r="H10" s="317"/>
      <c r="I10" s="317"/>
      <c r="J10" s="317"/>
      <c r="K10" s="318"/>
      <c r="L10" s="239"/>
      <c r="M10" s="239"/>
      <c r="N10" s="240"/>
      <c r="O10" s="241">
        <v>3</v>
      </c>
      <c r="P10" s="321"/>
      <c r="Q10" s="244"/>
      <c r="R10" s="289"/>
    </row>
    <row r="11" spans="1:23">
      <c r="B11" s="242" t="s">
        <v>410</v>
      </c>
      <c r="C11" s="226"/>
      <c r="O11" s="225"/>
      <c r="Q11" s="244"/>
      <c r="R11" s="288" t="s">
        <v>176</v>
      </c>
    </row>
    <row r="12" spans="1:23">
      <c r="B12" s="242" t="s">
        <v>410</v>
      </c>
      <c r="C12" s="226"/>
      <c r="O12" s="225"/>
      <c r="Q12" s="244"/>
      <c r="R12" s="289" t="s">
        <v>202</v>
      </c>
    </row>
    <row r="13" spans="1:23">
      <c r="B13" s="242" t="s">
        <v>410</v>
      </c>
      <c r="C13" s="226"/>
      <c r="O13" s="225"/>
      <c r="Q13" s="244"/>
      <c r="R13" s="290" t="s">
        <v>452</v>
      </c>
    </row>
    <row r="14" spans="1:23">
      <c r="B14" s="242" t="s">
        <v>411</v>
      </c>
      <c r="C14" s="226"/>
      <c r="O14" s="225"/>
      <c r="Q14" s="244"/>
      <c r="R14" s="330" t="s">
        <v>453</v>
      </c>
    </row>
    <row r="15" spans="1:23">
      <c r="B15" s="242" t="s">
        <v>411</v>
      </c>
      <c r="O15" s="225"/>
      <c r="Q15" s="244"/>
      <c r="R15" s="290" t="s">
        <v>454</v>
      </c>
    </row>
    <row r="16" spans="1:23">
      <c r="B16" s="242" t="s">
        <v>411</v>
      </c>
      <c r="O16" s="225"/>
      <c r="Q16" s="244"/>
      <c r="R16" s="290" t="s">
        <v>455</v>
      </c>
    </row>
    <row r="17" spans="1:18">
      <c r="B17" s="242" t="s">
        <v>130</v>
      </c>
      <c r="O17" s="225"/>
      <c r="Q17" s="244"/>
      <c r="R17" s="290" t="s">
        <v>474</v>
      </c>
    </row>
    <row r="18" spans="1:18" ht="16" thickBot="1">
      <c r="O18" s="225"/>
      <c r="Q18" s="244"/>
      <c r="R18" s="290" t="s">
        <v>456</v>
      </c>
    </row>
    <row r="19" spans="1:18" ht="17" thickBot="1">
      <c r="A19" s="323" t="s">
        <v>128</v>
      </c>
      <c r="B19" s="234"/>
      <c r="C19" s="1038" t="s">
        <v>477</v>
      </c>
      <c r="D19" s="1039"/>
      <c r="E19" s="1039"/>
      <c r="F19" s="1039"/>
      <c r="G19" s="1039"/>
      <c r="H19" s="1039"/>
      <c r="I19" s="1039"/>
      <c r="J19" s="1039"/>
      <c r="K19" s="1039"/>
      <c r="L19" s="1039"/>
      <c r="M19" s="1039"/>
      <c r="N19" s="1040"/>
      <c r="O19" s="241">
        <v>2</v>
      </c>
      <c r="P19" s="321"/>
      <c r="Q19" s="244"/>
      <c r="R19" s="290" t="s">
        <v>457</v>
      </c>
    </row>
    <row r="20" spans="1:18">
      <c r="B20" s="242" t="s">
        <v>410</v>
      </c>
      <c r="O20" s="225"/>
      <c r="Q20" s="244"/>
      <c r="R20" s="289"/>
    </row>
    <row r="21" spans="1:18">
      <c r="B21" s="242" t="s">
        <v>410</v>
      </c>
      <c r="O21" s="225"/>
      <c r="Q21" s="244"/>
      <c r="R21" s="288" t="s">
        <v>186</v>
      </c>
    </row>
    <row r="22" spans="1:18">
      <c r="B22" s="242" t="s">
        <v>410</v>
      </c>
      <c r="O22" s="225"/>
      <c r="Q22" s="244"/>
      <c r="R22" s="288" t="s">
        <v>468</v>
      </c>
    </row>
    <row r="23" spans="1:18">
      <c r="B23" s="242" t="s">
        <v>411</v>
      </c>
      <c r="O23" s="225"/>
      <c r="Q23" s="244"/>
      <c r="R23" s="300" t="s">
        <v>469</v>
      </c>
    </row>
    <row r="24" spans="1:18">
      <c r="B24" s="242" t="s">
        <v>411</v>
      </c>
      <c r="Q24" s="244"/>
      <c r="R24" s="289" t="s">
        <v>470</v>
      </c>
    </row>
    <row r="25" spans="1:18">
      <c r="B25" s="242" t="s">
        <v>411</v>
      </c>
      <c r="Q25" s="244"/>
      <c r="R25" s="289" t="s">
        <v>471</v>
      </c>
    </row>
    <row r="26" spans="1:18">
      <c r="B26" s="242" t="s">
        <v>130</v>
      </c>
      <c r="Q26" s="244"/>
      <c r="R26" s="289" t="s">
        <v>472</v>
      </c>
    </row>
    <row r="27" spans="1:18" ht="16" thickBot="1">
      <c r="Q27" s="244"/>
      <c r="R27" s="289" t="s">
        <v>475</v>
      </c>
    </row>
    <row r="28" spans="1:18" ht="17" thickBot="1">
      <c r="A28" s="323" t="s">
        <v>129</v>
      </c>
      <c r="B28" s="234"/>
      <c r="C28" s="1038" t="s">
        <v>124</v>
      </c>
      <c r="D28" s="1039"/>
      <c r="E28" s="1039"/>
      <c r="F28" s="1039"/>
      <c r="G28" s="1039"/>
      <c r="H28" s="1039"/>
      <c r="I28" s="1039"/>
      <c r="J28" s="1039"/>
      <c r="K28" s="1039"/>
      <c r="L28" s="1039"/>
      <c r="M28" s="1039"/>
      <c r="N28" s="1040"/>
      <c r="O28" s="241">
        <v>2</v>
      </c>
      <c r="P28" s="321"/>
      <c r="Q28" s="244"/>
      <c r="R28" s="289"/>
    </row>
    <row r="29" spans="1:18">
      <c r="B29" s="242" t="s">
        <v>410</v>
      </c>
      <c r="O29" s="225"/>
      <c r="Q29" s="244"/>
      <c r="R29" s="289" t="s">
        <v>473</v>
      </c>
    </row>
    <row r="30" spans="1:18">
      <c r="B30" s="242" t="s">
        <v>410</v>
      </c>
      <c r="O30" s="225"/>
      <c r="Q30" s="244"/>
      <c r="R30" s="289" t="s">
        <v>458</v>
      </c>
    </row>
    <row r="31" spans="1:18">
      <c r="B31" s="242" t="s">
        <v>410</v>
      </c>
      <c r="O31" s="225"/>
      <c r="Q31" s="244"/>
      <c r="R31" s="289" t="s">
        <v>459</v>
      </c>
    </row>
    <row r="32" spans="1:18">
      <c r="B32" s="242" t="s">
        <v>411</v>
      </c>
      <c r="O32" s="225"/>
      <c r="Q32" s="244"/>
      <c r="R32" s="289" t="s">
        <v>460</v>
      </c>
    </row>
    <row r="33" spans="1:18">
      <c r="B33" s="242" t="s">
        <v>411</v>
      </c>
      <c r="Q33" s="244"/>
      <c r="R33" s="289" t="s">
        <v>461</v>
      </c>
    </row>
    <row r="34" spans="1:18">
      <c r="B34" s="242" t="s">
        <v>411</v>
      </c>
      <c r="Q34" s="244"/>
      <c r="R34" s="289" t="s">
        <v>462</v>
      </c>
    </row>
    <row r="35" spans="1:18">
      <c r="B35" s="242" t="s">
        <v>130</v>
      </c>
      <c r="Q35" s="244"/>
      <c r="R35" s="289" t="s">
        <v>463</v>
      </c>
    </row>
    <row r="36" spans="1:18" ht="16" thickBot="1">
      <c r="Q36" s="244"/>
      <c r="R36" s="289" t="s">
        <v>464</v>
      </c>
    </row>
    <row r="37" spans="1:18" ht="17" thickBot="1">
      <c r="A37" s="323" t="s">
        <v>140</v>
      </c>
      <c r="B37" s="234"/>
      <c r="C37" s="1038" t="s">
        <v>64</v>
      </c>
      <c r="D37" s="1039"/>
      <c r="E37" s="1039"/>
      <c r="F37" s="1039"/>
      <c r="G37" s="1039"/>
      <c r="H37" s="1039"/>
      <c r="I37" s="1039"/>
      <c r="J37" s="1039"/>
      <c r="K37" s="1039"/>
      <c r="L37" s="1039"/>
      <c r="M37" s="1039"/>
      <c r="N37" s="1040"/>
      <c r="O37" s="241">
        <v>3</v>
      </c>
      <c r="P37" s="321"/>
      <c r="Q37" s="244"/>
      <c r="R37" s="289" t="s">
        <v>465</v>
      </c>
    </row>
    <row r="38" spans="1:18">
      <c r="B38" s="242" t="s">
        <v>410</v>
      </c>
      <c r="O38" s="225"/>
      <c r="Q38" s="244"/>
      <c r="R38" s="289"/>
    </row>
    <row r="39" spans="1:18">
      <c r="B39" s="242" t="s">
        <v>410</v>
      </c>
      <c r="O39" s="225"/>
      <c r="Q39" s="244"/>
      <c r="R39" s="289" t="s">
        <v>466</v>
      </c>
    </row>
    <row r="40" spans="1:18">
      <c r="B40" s="242" t="s">
        <v>410</v>
      </c>
      <c r="O40" s="225"/>
      <c r="Q40" s="244"/>
      <c r="R40" s="289" t="s">
        <v>467</v>
      </c>
    </row>
    <row r="41" spans="1:18">
      <c r="B41" s="242" t="s">
        <v>411</v>
      </c>
      <c r="O41" s="225"/>
      <c r="Q41" s="244"/>
    </row>
    <row r="42" spans="1:18">
      <c r="B42" s="242" t="s">
        <v>411</v>
      </c>
      <c r="Q42" s="244"/>
    </row>
    <row r="43" spans="1:18">
      <c r="B43" s="242" t="s">
        <v>411</v>
      </c>
      <c r="Q43" s="244"/>
    </row>
    <row r="44" spans="1:18">
      <c r="B44" s="242" t="s">
        <v>130</v>
      </c>
      <c r="Q44" s="244"/>
    </row>
    <row r="45" spans="1:18">
      <c r="Q45" s="244"/>
    </row>
    <row r="46" spans="1:18">
      <c r="Q46" s="244"/>
    </row>
    <row r="47" spans="1:18">
      <c r="Q47" s="244"/>
    </row>
    <row r="48" spans="1:18">
      <c r="Q48" s="244"/>
    </row>
    <row r="49" spans="17:17">
      <c r="Q49" s="244"/>
    </row>
  </sheetData>
  <mergeCells count="3">
    <mergeCell ref="C19:N19"/>
    <mergeCell ref="C28:N28"/>
    <mergeCell ref="C37:N37"/>
  </mergeCells>
  <dataValidations count="2">
    <dataValidation type="list" allowBlank="1" showInputMessage="1" showErrorMessage="1" sqref="B11:B16 B20:B25 B29:B34 B38:B43" xr:uid="{00000000-0002-0000-2200-000000000000}">
      <formula1>Choix_capacité</formula1>
    </dataValidation>
    <dataValidation type="list" allowBlank="1" showInputMessage="1" showErrorMessage="1" sqref="P10 P19 P28 P37" xr:uid="{00000000-0002-0000-2200-000001000000}">
      <formula1>choix</formula1>
    </dataValidation>
  </dataValidations>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6">
    <tabColor theme="7"/>
  </sheetPr>
  <dimension ref="A3:AG116"/>
  <sheetViews>
    <sheetView topLeftCell="A5" zoomScale="80" zoomScaleNormal="80" workbookViewId="0">
      <selection activeCell="S16" sqref="S16"/>
    </sheetView>
  </sheetViews>
  <sheetFormatPr baseColWidth="10" defaultColWidth="11.5" defaultRowHeight="15"/>
  <cols>
    <col min="1" max="1" width="11.5" style="467"/>
    <col min="2" max="2" width="13.6640625" style="467" customWidth="1"/>
    <col min="3" max="3" width="17.6640625" style="467" customWidth="1"/>
    <col min="4" max="13" width="11.5" style="467"/>
    <col min="14" max="14" width="2.5" style="467" customWidth="1"/>
    <col min="15" max="16" width="13.5" style="467" bestFit="1" customWidth="1"/>
    <col min="17" max="18" width="11.5" style="467"/>
    <col min="19" max="19" width="15.6640625" style="467" customWidth="1"/>
    <col min="20" max="22" width="11.5" style="467"/>
    <col min="23" max="23" width="19.1640625" style="467" customWidth="1"/>
    <col min="24" max="16384" width="11.5" style="467"/>
  </cols>
  <sheetData>
    <row r="3" spans="1:33" ht="16" thickBot="1"/>
    <row r="4" spans="1:33" ht="19">
      <c r="B4" s="327" t="s">
        <v>115</v>
      </c>
      <c r="C4" s="228" t="s">
        <v>126</v>
      </c>
      <c r="D4" s="229" t="s">
        <v>1014</v>
      </c>
      <c r="E4" s="471" t="s">
        <v>1015</v>
      </c>
      <c r="G4" s="260"/>
    </row>
    <row r="5" spans="1:33">
      <c r="C5" s="230" t="s">
        <v>55</v>
      </c>
      <c r="D5" s="231">
        <v>12</v>
      </c>
    </row>
    <row r="6" spans="1:33" ht="16" thickBot="1">
      <c r="C6" s="232" t="s">
        <v>62</v>
      </c>
      <c r="D6" s="460">
        <v>180</v>
      </c>
      <c r="Q6" s="481"/>
      <c r="R6" s="489"/>
      <c r="S6" s="489"/>
      <c r="T6" s="489"/>
      <c r="U6" s="489"/>
      <c r="V6" s="489"/>
      <c r="W6" s="489"/>
      <c r="X6" s="489"/>
      <c r="Y6" s="489"/>
      <c r="Z6" s="489"/>
      <c r="AA6" s="489"/>
      <c r="AB6" s="481"/>
      <c r="AC6" s="481"/>
      <c r="AD6" s="481"/>
      <c r="AE6" s="481"/>
      <c r="AF6" s="481"/>
      <c r="AG6" s="481"/>
    </row>
    <row r="7" spans="1:33" ht="16" thickBot="1">
      <c r="Q7" s="481"/>
      <c r="R7" s="489"/>
      <c r="S7" s="489"/>
      <c r="T7" s="489"/>
      <c r="U7" s="489"/>
      <c r="V7" s="489"/>
      <c r="W7" s="489"/>
      <c r="X7" s="489"/>
      <c r="Y7" s="489"/>
      <c r="Z7" s="489"/>
      <c r="AA7" s="489"/>
      <c r="AB7" s="481"/>
      <c r="AC7" s="481"/>
      <c r="AD7" s="481"/>
      <c r="AE7" s="481"/>
      <c r="AF7" s="481"/>
      <c r="AG7" s="481"/>
    </row>
    <row r="8" spans="1:33" ht="49" thickBot="1">
      <c r="O8" s="320" t="s">
        <v>125</v>
      </c>
      <c r="P8" s="320" t="s">
        <v>408</v>
      </c>
      <c r="Q8" s="481"/>
      <c r="U8" s="489"/>
      <c r="V8" s="489"/>
      <c r="W8" s="489"/>
      <c r="X8" s="489"/>
      <c r="Y8" s="489"/>
      <c r="Z8" s="489"/>
      <c r="AA8" s="489"/>
      <c r="AB8" s="481"/>
      <c r="AC8" s="481"/>
      <c r="AD8" s="481"/>
      <c r="AE8" s="481"/>
      <c r="AF8" s="481"/>
      <c r="AG8" s="481"/>
    </row>
    <row r="9" spans="1:33" ht="17" thickBot="1">
      <c r="Q9" s="481"/>
      <c r="R9" s="292"/>
      <c r="S9" s="1041" t="s">
        <v>567</v>
      </c>
      <c r="T9" s="1042"/>
      <c r="U9" s="1042"/>
      <c r="V9" s="1042"/>
      <c r="W9" s="1042"/>
      <c r="X9" s="1042"/>
      <c r="Y9" s="1042"/>
      <c r="Z9" s="1042"/>
      <c r="AA9" s="489"/>
      <c r="AB9" s="481"/>
      <c r="AC9" s="481"/>
      <c r="AD9" s="481"/>
      <c r="AE9" s="481"/>
      <c r="AF9" s="481"/>
      <c r="AG9" s="481"/>
    </row>
    <row r="10" spans="1:33" ht="17" thickBot="1">
      <c r="A10" s="493" t="s">
        <v>127</v>
      </c>
      <c r="B10" s="472"/>
      <c r="C10" s="1038" t="s">
        <v>480</v>
      </c>
      <c r="D10" s="1039"/>
      <c r="E10" s="1039"/>
      <c r="F10" s="1039"/>
      <c r="G10" s="1039"/>
      <c r="H10" s="1039"/>
      <c r="I10" s="1039"/>
      <c r="J10" s="1039"/>
      <c r="K10" s="1039"/>
      <c r="L10" s="1039"/>
      <c r="M10" s="529"/>
      <c r="N10" s="472"/>
      <c r="O10" s="478">
        <v>1</v>
      </c>
      <c r="P10" s="492" t="s">
        <v>407</v>
      </c>
      <c r="Q10" s="481"/>
      <c r="R10" s="292"/>
      <c r="S10" s="476"/>
      <c r="AA10" s="489"/>
      <c r="AB10" s="481"/>
      <c r="AC10" s="481"/>
      <c r="AD10" s="481"/>
      <c r="AE10" s="481"/>
      <c r="AF10" s="481"/>
      <c r="AG10" s="481"/>
    </row>
    <row r="11" spans="1:33">
      <c r="B11" s="479" t="s">
        <v>410</v>
      </c>
      <c r="C11" s="715" t="s">
        <v>1016</v>
      </c>
      <c r="Q11" s="481"/>
      <c r="R11" s="292"/>
      <c r="S11" s="410" t="s">
        <v>595</v>
      </c>
      <c r="T11" s="495"/>
      <c r="V11" s="399"/>
      <c r="W11" s="399"/>
      <c r="X11" s="399"/>
      <c r="Y11" s="399"/>
      <c r="AA11" s="489"/>
      <c r="AB11" s="481"/>
      <c r="AC11" s="481"/>
      <c r="AD11" s="481"/>
      <c r="AE11" s="481"/>
      <c r="AF11" s="481"/>
      <c r="AG11" s="481"/>
    </row>
    <row r="12" spans="1:33">
      <c r="B12" s="479" t="s">
        <v>411</v>
      </c>
      <c r="C12" s="467" t="s">
        <v>1017</v>
      </c>
      <c r="Q12" s="481"/>
      <c r="R12" s="292"/>
      <c r="S12" s="424" t="s">
        <v>480</v>
      </c>
      <c r="T12" s="495"/>
      <c r="V12" s="495"/>
      <c r="W12" s="495"/>
      <c r="X12" s="495"/>
      <c r="Y12" s="495"/>
      <c r="AA12" s="489"/>
      <c r="AB12" s="481"/>
      <c r="AC12" s="481"/>
      <c r="AD12" s="481"/>
      <c r="AE12" s="481"/>
      <c r="AF12" s="481"/>
      <c r="AG12" s="481"/>
    </row>
    <row r="13" spans="1:33">
      <c r="B13" s="479" t="s">
        <v>411</v>
      </c>
      <c r="C13" s="467" t="s">
        <v>1018</v>
      </c>
      <c r="Q13" s="481"/>
      <c r="R13" s="292"/>
      <c r="S13" s="505" t="s">
        <v>410</v>
      </c>
      <c r="T13" s="467" t="s">
        <v>1016</v>
      </c>
      <c r="AA13" s="280"/>
    </row>
    <row r="14" spans="1:33">
      <c r="B14" s="479" t="s">
        <v>130</v>
      </c>
      <c r="C14" s="479" t="s">
        <v>1019</v>
      </c>
      <c r="Q14" s="481"/>
      <c r="R14" s="292"/>
      <c r="S14" s="505" t="s">
        <v>411</v>
      </c>
      <c r="T14" s="467" t="s">
        <v>1017</v>
      </c>
      <c r="X14" s="495"/>
      <c r="Y14" s="495"/>
      <c r="Z14" s="268"/>
    </row>
    <row r="15" spans="1:33" ht="16" thickBot="1">
      <c r="Q15" s="481"/>
      <c r="R15" s="292"/>
      <c r="S15" s="505" t="s">
        <v>411</v>
      </c>
      <c r="T15" s="467" t="s">
        <v>1018</v>
      </c>
      <c r="X15" s="495"/>
      <c r="Y15" s="495"/>
    </row>
    <row r="16" spans="1:33" ht="17" thickBot="1">
      <c r="A16" s="493" t="s">
        <v>129</v>
      </c>
      <c r="B16" s="472"/>
      <c r="C16" s="473" t="s">
        <v>477</v>
      </c>
      <c r="D16" s="474"/>
      <c r="E16" s="474"/>
      <c r="F16" s="474"/>
      <c r="G16" s="474"/>
      <c r="H16" s="474"/>
      <c r="I16" s="474"/>
      <c r="J16" s="474"/>
      <c r="K16" s="474"/>
      <c r="L16" s="474"/>
      <c r="M16" s="474"/>
      <c r="N16" s="475"/>
      <c r="O16" s="478">
        <v>3</v>
      </c>
      <c r="P16" s="492" t="s">
        <v>407</v>
      </c>
      <c r="Q16" s="481"/>
      <c r="R16" s="292"/>
      <c r="S16" s="512" t="s">
        <v>477</v>
      </c>
      <c r="T16" s="504"/>
      <c r="X16" s="495"/>
      <c r="Y16" s="495"/>
    </row>
    <row r="17" spans="1:25">
      <c r="B17" s="479" t="s">
        <v>410</v>
      </c>
      <c r="C17" s="715" t="s">
        <v>584</v>
      </c>
      <c r="O17" s="470"/>
      <c r="Q17" s="481"/>
      <c r="R17" s="292"/>
      <c r="S17" s="505" t="s">
        <v>410</v>
      </c>
      <c r="T17" s="467" t="s">
        <v>584</v>
      </c>
      <c r="V17" s="495"/>
      <c r="W17" s="495"/>
      <c r="X17" s="495"/>
      <c r="Y17" s="495"/>
    </row>
    <row r="18" spans="1:25">
      <c r="B18" s="479" t="s">
        <v>411</v>
      </c>
      <c r="C18" s="467" t="s">
        <v>1020</v>
      </c>
      <c r="O18" s="470"/>
      <c r="Q18" s="481"/>
      <c r="R18" s="292"/>
      <c r="S18" s="505" t="s">
        <v>411</v>
      </c>
      <c r="T18" s="467" t="s">
        <v>1020</v>
      </c>
      <c r="V18" s="495"/>
      <c r="W18" s="495"/>
      <c r="X18" s="495"/>
      <c r="Y18" s="495"/>
    </row>
    <row r="19" spans="1:25">
      <c r="B19" s="479" t="s">
        <v>411</v>
      </c>
      <c r="C19" s="467" t="s">
        <v>1021</v>
      </c>
      <c r="O19" s="470"/>
      <c r="Q19" s="481"/>
      <c r="R19" s="292"/>
      <c r="S19" s="505" t="s">
        <v>411</v>
      </c>
      <c r="T19" s="467" t="s">
        <v>1021</v>
      </c>
      <c r="V19" s="495"/>
      <c r="W19" s="495"/>
      <c r="X19" s="495"/>
      <c r="Y19" s="495"/>
    </row>
    <row r="20" spans="1:25">
      <c r="B20" s="479" t="s">
        <v>411</v>
      </c>
      <c r="C20" s="467" t="s">
        <v>1022</v>
      </c>
      <c r="O20" s="470"/>
      <c r="Q20" s="481"/>
      <c r="R20" s="292"/>
      <c r="S20" s="505" t="s">
        <v>411</v>
      </c>
      <c r="T20" s="467" t="s">
        <v>1022</v>
      </c>
      <c r="V20" s="495"/>
      <c r="W20" s="495"/>
      <c r="X20" s="495"/>
      <c r="Y20" s="495"/>
    </row>
    <row r="21" spans="1:25">
      <c r="B21" s="479" t="s">
        <v>411</v>
      </c>
      <c r="C21" s="467" t="s">
        <v>1023</v>
      </c>
      <c r="O21" s="470"/>
      <c r="Q21" s="481"/>
      <c r="R21" s="292"/>
      <c r="S21" s="505" t="s">
        <v>411</v>
      </c>
      <c r="T21" s="467" t="s">
        <v>1023</v>
      </c>
      <c r="V21" s="266"/>
      <c r="W21" s="266"/>
      <c r="X21" s="266"/>
      <c r="Y21" s="266"/>
    </row>
    <row r="22" spans="1:25">
      <c r="B22" s="479" t="s">
        <v>411</v>
      </c>
      <c r="C22" s="467" t="s">
        <v>1024</v>
      </c>
      <c r="O22" s="470"/>
      <c r="Q22" s="481"/>
      <c r="R22" s="292"/>
      <c r="S22" s="505" t="s">
        <v>411</v>
      </c>
      <c r="T22" s="467" t="s">
        <v>1024</v>
      </c>
      <c r="V22" s="266"/>
      <c r="W22" s="266"/>
      <c r="X22" s="266"/>
      <c r="Y22" s="266"/>
    </row>
    <row r="23" spans="1:25" ht="15.75" customHeight="1">
      <c r="B23" s="479" t="s">
        <v>411</v>
      </c>
      <c r="C23" s="467" t="s">
        <v>1025</v>
      </c>
      <c r="O23" s="470"/>
      <c r="Q23" s="481"/>
      <c r="R23" s="292"/>
      <c r="S23" s="505" t="s">
        <v>411</v>
      </c>
      <c r="T23" s="467" t="s">
        <v>1025</v>
      </c>
      <c r="W23" s="481"/>
      <c r="X23" s="481"/>
      <c r="Y23" s="481"/>
    </row>
    <row r="24" spans="1:25" ht="15.75" customHeight="1">
      <c r="B24" s="479" t="s">
        <v>411</v>
      </c>
      <c r="C24" s="467" t="s">
        <v>1026</v>
      </c>
      <c r="O24" s="470"/>
      <c r="Q24" s="481"/>
      <c r="R24" s="292"/>
      <c r="S24" s="505" t="s">
        <v>411</v>
      </c>
      <c r="T24" s="467" t="s">
        <v>1026</v>
      </c>
      <c r="W24" s="481"/>
      <c r="X24" s="481"/>
      <c r="Y24" s="481"/>
    </row>
    <row r="25" spans="1:25" ht="15" customHeight="1">
      <c r="B25" s="479" t="s">
        <v>130</v>
      </c>
      <c r="C25" s="479" t="s">
        <v>1027</v>
      </c>
      <c r="O25" s="470"/>
      <c r="Q25" s="481"/>
      <c r="R25" s="292"/>
      <c r="S25" s="505" t="s">
        <v>411</v>
      </c>
      <c r="T25" s="467" t="s">
        <v>1026</v>
      </c>
    </row>
    <row r="26" spans="1:25" ht="15" customHeight="1">
      <c r="C26" s="479" t="s">
        <v>1028</v>
      </c>
      <c r="O26" s="470"/>
      <c r="Q26" s="481"/>
      <c r="R26" s="292"/>
      <c r="S26" s="512" t="s">
        <v>64</v>
      </c>
      <c r="T26" s="497"/>
      <c r="X26" s="269"/>
      <c r="Y26" s="269"/>
    </row>
    <row r="27" spans="1:25" ht="15" customHeight="1" thickBot="1">
      <c r="Q27" s="481"/>
      <c r="R27" s="292"/>
      <c r="S27" s="505" t="s">
        <v>410</v>
      </c>
      <c r="T27" s="467" t="s">
        <v>1029</v>
      </c>
      <c r="W27" s="269"/>
    </row>
    <row r="28" spans="1:25" ht="15" customHeight="1" thickBot="1">
      <c r="A28" s="493" t="s">
        <v>141</v>
      </c>
      <c r="B28" s="472"/>
      <c r="C28" s="473" t="s">
        <v>64</v>
      </c>
      <c r="D28" s="474"/>
      <c r="E28" s="474"/>
      <c r="F28" s="474"/>
      <c r="G28" s="474"/>
      <c r="H28" s="474"/>
      <c r="I28" s="474"/>
      <c r="J28" s="474"/>
      <c r="K28" s="474"/>
      <c r="L28" s="474"/>
      <c r="M28" s="474"/>
      <c r="N28" s="475"/>
      <c r="O28" s="478">
        <v>3</v>
      </c>
      <c r="P28" s="492" t="s">
        <v>407</v>
      </c>
      <c r="Q28" s="481"/>
      <c r="R28" s="292"/>
      <c r="S28" s="505" t="s">
        <v>410</v>
      </c>
      <c r="T28" s="467" t="s">
        <v>1030</v>
      </c>
    </row>
    <row r="29" spans="1:25">
      <c r="B29" s="479" t="s">
        <v>410</v>
      </c>
      <c r="C29" s="715" t="s">
        <v>1029</v>
      </c>
      <c r="O29" s="470"/>
      <c r="R29" s="292"/>
      <c r="S29" s="505" t="s">
        <v>411</v>
      </c>
      <c r="T29" s="467" t="s">
        <v>1031</v>
      </c>
    </row>
    <row r="30" spans="1:25">
      <c r="B30" s="479" t="s">
        <v>410</v>
      </c>
      <c r="C30" s="715" t="s">
        <v>1030</v>
      </c>
      <c r="O30" s="470"/>
      <c r="R30" s="304"/>
      <c r="S30" s="505" t="s">
        <v>411</v>
      </c>
      <c r="T30" s="467" t="s">
        <v>1032</v>
      </c>
    </row>
    <row r="31" spans="1:25">
      <c r="B31" s="479" t="s">
        <v>411</v>
      </c>
      <c r="C31" s="467" t="s">
        <v>1031</v>
      </c>
      <c r="O31" s="470"/>
      <c r="R31" s="292"/>
      <c r="S31" s="512" t="s">
        <v>478</v>
      </c>
      <c r="T31" s="504"/>
    </row>
    <row r="32" spans="1:25">
      <c r="B32" s="479" t="s">
        <v>411</v>
      </c>
      <c r="C32" s="467" t="s">
        <v>1032</v>
      </c>
      <c r="O32" s="470"/>
      <c r="R32" s="292"/>
      <c r="S32" s="505" t="s">
        <v>410</v>
      </c>
      <c r="T32" s="467" t="s">
        <v>1033</v>
      </c>
    </row>
    <row r="33" spans="1:26">
      <c r="B33" s="479" t="s">
        <v>130</v>
      </c>
      <c r="C33" s="479" t="s">
        <v>1034</v>
      </c>
      <c r="R33" s="292"/>
      <c r="S33" s="505" t="s">
        <v>410</v>
      </c>
      <c r="T33" s="467" t="s">
        <v>1035</v>
      </c>
    </row>
    <row r="34" spans="1:26" ht="16" thickBot="1">
      <c r="R34" s="292"/>
      <c r="S34" s="505" t="s">
        <v>410</v>
      </c>
      <c r="T34" s="467" t="s">
        <v>1036</v>
      </c>
    </row>
    <row r="35" spans="1:26" ht="17" thickBot="1">
      <c r="A35" s="493" t="s">
        <v>145</v>
      </c>
      <c r="B35" s="472"/>
      <c r="C35" s="473" t="s">
        <v>478</v>
      </c>
      <c r="D35" s="474"/>
      <c r="E35" s="474"/>
      <c r="F35" s="474"/>
      <c r="G35" s="474"/>
      <c r="H35" s="474"/>
      <c r="I35" s="474"/>
      <c r="J35" s="474"/>
      <c r="K35" s="474"/>
      <c r="L35" s="474"/>
      <c r="M35" s="474"/>
      <c r="N35" s="475"/>
      <c r="O35" s="478">
        <v>3</v>
      </c>
      <c r="P35" s="492" t="s">
        <v>407</v>
      </c>
      <c r="R35" s="292"/>
      <c r="S35" s="505" t="s">
        <v>410</v>
      </c>
      <c r="T35" s="467" t="s">
        <v>1037</v>
      </c>
    </row>
    <row r="36" spans="1:26">
      <c r="B36" s="479" t="s">
        <v>410</v>
      </c>
      <c r="C36" s="715" t="s">
        <v>1033</v>
      </c>
      <c r="O36" s="470"/>
      <c r="R36" s="292"/>
      <c r="S36" s="505" t="s">
        <v>410</v>
      </c>
      <c r="T36" s="467" t="s">
        <v>1038</v>
      </c>
    </row>
    <row r="37" spans="1:26">
      <c r="B37" s="479" t="s">
        <v>410</v>
      </c>
      <c r="C37" s="715" t="s">
        <v>1035</v>
      </c>
      <c r="O37" s="470"/>
      <c r="R37" s="292"/>
      <c r="S37" s="505" t="s">
        <v>411</v>
      </c>
      <c r="T37" s="467" t="s">
        <v>1039</v>
      </c>
    </row>
    <row r="38" spans="1:26">
      <c r="B38" s="479" t="s">
        <v>410</v>
      </c>
      <c r="C38" s="715" t="s">
        <v>1036</v>
      </c>
      <c r="O38" s="470"/>
      <c r="R38" s="292"/>
      <c r="S38" s="505" t="s">
        <v>411</v>
      </c>
      <c r="T38" s="467" t="s">
        <v>1040</v>
      </c>
    </row>
    <row r="39" spans="1:26">
      <c r="B39" s="479" t="s">
        <v>410</v>
      </c>
      <c r="C39" s="715" t="s">
        <v>1037</v>
      </c>
      <c r="O39" s="470"/>
      <c r="R39" s="292"/>
      <c r="S39" s="505" t="s">
        <v>411</v>
      </c>
      <c r="T39" s="467" t="s">
        <v>1041</v>
      </c>
    </row>
    <row r="40" spans="1:26">
      <c r="B40" s="479" t="s">
        <v>410</v>
      </c>
      <c r="C40" s="715" t="s">
        <v>1038</v>
      </c>
      <c r="O40" s="470"/>
      <c r="R40" s="292"/>
      <c r="T40" s="504"/>
    </row>
    <row r="41" spans="1:26">
      <c r="B41" s="479" t="s">
        <v>411</v>
      </c>
      <c r="C41" s="467" t="s">
        <v>1042</v>
      </c>
      <c r="R41" s="292"/>
      <c r="T41" s="504"/>
    </row>
    <row r="42" spans="1:26">
      <c r="B42" s="479" t="s">
        <v>411</v>
      </c>
      <c r="C42" s="467" t="s">
        <v>1043</v>
      </c>
      <c r="R42" s="292"/>
      <c r="S42" s="410" t="s">
        <v>186</v>
      </c>
      <c r="T42" s="504"/>
    </row>
    <row r="43" spans="1:26">
      <c r="B43" s="479" t="s">
        <v>411</v>
      </c>
      <c r="C43" s="467" t="s">
        <v>1041</v>
      </c>
      <c r="R43" s="292"/>
      <c r="S43" s="479"/>
      <c r="T43" s="504"/>
      <c r="Z43" s="491"/>
    </row>
    <row r="44" spans="1:26">
      <c r="B44" s="479" t="s">
        <v>130</v>
      </c>
      <c r="C44" s="479" t="s">
        <v>1044</v>
      </c>
      <c r="R44" s="292"/>
      <c r="S44" s="497" t="s">
        <v>1045</v>
      </c>
      <c r="T44" s="504"/>
      <c r="X44" s="491"/>
      <c r="Y44" s="491"/>
    </row>
    <row r="45" spans="1:26">
      <c r="C45" s="479" t="s">
        <v>1046</v>
      </c>
      <c r="Q45" s="480"/>
      <c r="R45" s="292"/>
      <c r="S45" s="530" t="s">
        <v>1047</v>
      </c>
      <c r="T45" s="504"/>
      <c r="V45" s="491"/>
      <c r="W45" s="491"/>
    </row>
    <row r="46" spans="1:26" ht="15" customHeight="1">
      <c r="Q46" s="482"/>
      <c r="R46" s="292"/>
      <c r="S46" s="530" t="s">
        <v>1048</v>
      </c>
      <c r="T46" s="504"/>
      <c r="U46" s="491"/>
    </row>
    <row r="47" spans="1:26">
      <c r="R47" s="292"/>
      <c r="S47" s="530" t="s">
        <v>1049</v>
      </c>
      <c r="T47" s="401"/>
    </row>
    <row r="48" spans="1:26" ht="15" customHeight="1">
      <c r="R48" s="292"/>
      <c r="S48" s="530" t="s">
        <v>1050</v>
      </c>
      <c r="T48" s="495"/>
    </row>
    <row r="49" spans="2:21">
      <c r="R49" s="292"/>
      <c r="S49" s="530" t="s">
        <v>1051</v>
      </c>
      <c r="T49" s="495"/>
    </row>
    <row r="50" spans="2:21">
      <c r="Q50" s="481"/>
      <c r="R50" s="292"/>
      <c r="S50" s="497" t="s">
        <v>1052</v>
      </c>
      <c r="T50" s="495"/>
    </row>
    <row r="51" spans="2:21">
      <c r="R51" s="292"/>
      <c r="S51" s="467" t="s">
        <v>1053</v>
      </c>
      <c r="T51" s="495"/>
      <c r="U51" s="479"/>
    </row>
    <row r="52" spans="2:21">
      <c r="Q52" s="481"/>
      <c r="R52" s="292"/>
      <c r="S52" s="467" t="s">
        <v>1054</v>
      </c>
      <c r="T52" s="497"/>
      <c r="U52" s="479"/>
    </row>
    <row r="53" spans="2:21">
      <c r="Q53" s="481"/>
      <c r="R53" s="292"/>
      <c r="S53" s="467" t="s">
        <v>1055</v>
      </c>
      <c r="T53" s="497"/>
      <c r="U53" s="479"/>
    </row>
    <row r="54" spans="2:21">
      <c r="Q54" s="481"/>
      <c r="R54" s="292"/>
      <c r="S54" s="467" t="s">
        <v>1056</v>
      </c>
      <c r="T54" s="497"/>
      <c r="U54" s="479"/>
    </row>
    <row r="55" spans="2:21">
      <c r="Q55" s="481"/>
      <c r="R55" s="292"/>
      <c r="S55" s="467" t="s">
        <v>1057</v>
      </c>
      <c r="T55" s="497"/>
    </row>
    <row r="56" spans="2:21">
      <c r="Q56" s="481"/>
      <c r="R56" s="292"/>
      <c r="S56" s="479" t="s">
        <v>1058</v>
      </c>
    </row>
    <row r="57" spans="2:21">
      <c r="Q57" s="481"/>
      <c r="R57" s="292"/>
      <c r="S57" s="467" t="s">
        <v>1059</v>
      </c>
    </row>
    <row r="58" spans="2:21">
      <c r="Q58" s="481"/>
      <c r="R58" s="292"/>
      <c r="S58" s="467" t="s">
        <v>1060</v>
      </c>
    </row>
    <row r="59" spans="2:21">
      <c r="B59" s="479"/>
      <c r="Q59" s="481"/>
      <c r="R59" s="292"/>
      <c r="S59" s="467" t="s">
        <v>1061</v>
      </c>
      <c r="T59" s="489"/>
    </row>
    <row r="60" spans="2:21">
      <c r="Q60" s="481"/>
      <c r="R60" s="304"/>
      <c r="S60" s="481" t="s">
        <v>1062</v>
      </c>
      <c r="T60" s="489"/>
    </row>
    <row r="61" spans="2:21">
      <c r="Q61" s="481"/>
      <c r="R61" s="292"/>
      <c r="S61" s="467" t="s">
        <v>1063</v>
      </c>
      <c r="T61" s="489"/>
    </row>
    <row r="62" spans="2:21">
      <c r="Q62" s="481"/>
      <c r="R62" s="292"/>
      <c r="S62" s="467" t="s">
        <v>1064</v>
      </c>
    </row>
    <row r="63" spans="2:21">
      <c r="Q63" s="481"/>
      <c r="R63" s="292"/>
      <c r="S63" s="467" t="s">
        <v>1065</v>
      </c>
    </row>
    <row r="64" spans="2:21">
      <c r="Q64" s="481"/>
      <c r="R64" s="292"/>
      <c r="S64" s="467" t="s">
        <v>1066</v>
      </c>
    </row>
    <row r="65" spans="17:19">
      <c r="Q65" s="481"/>
      <c r="R65" s="292"/>
      <c r="S65" s="479" t="s">
        <v>1067</v>
      </c>
    </row>
    <row r="66" spans="17:19">
      <c r="Q66" s="481"/>
      <c r="R66" s="292"/>
      <c r="S66" s="467" t="s">
        <v>1068</v>
      </c>
    </row>
    <row r="67" spans="17:19">
      <c r="R67" s="292"/>
      <c r="S67" s="467" t="s">
        <v>1069</v>
      </c>
    </row>
    <row r="68" spans="17:19">
      <c r="R68" s="292"/>
      <c r="S68" s="467" t="s">
        <v>1070</v>
      </c>
    </row>
    <row r="69" spans="17:19">
      <c r="R69" s="292"/>
      <c r="S69" s="467" t="s">
        <v>1071</v>
      </c>
    </row>
    <row r="70" spans="17:19">
      <c r="R70" s="292"/>
      <c r="S70" s="467" t="s">
        <v>1072</v>
      </c>
    </row>
    <row r="71" spans="17:19">
      <c r="R71" s="292"/>
    </row>
    <row r="72" spans="17:19">
      <c r="R72" s="292"/>
      <c r="S72" s="497" t="s">
        <v>535</v>
      </c>
    </row>
    <row r="73" spans="17:19">
      <c r="R73" s="292"/>
      <c r="S73" s="479" t="s">
        <v>1019</v>
      </c>
    </row>
    <row r="74" spans="17:19">
      <c r="R74" s="292"/>
      <c r="S74" s="479" t="s">
        <v>1027</v>
      </c>
    </row>
    <row r="75" spans="17:19">
      <c r="R75" s="292"/>
      <c r="S75" s="479" t="s">
        <v>1028</v>
      </c>
    </row>
    <row r="76" spans="17:19">
      <c r="R76" s="292"/>
      <c r="S76" s="479" t="s">
        <v>1034</v>
      </c>
    </row>
    <row r="77" spans="17:19">
      <c r="R77" s="292"/>
      <c r="S77" s="479" t="s">
        <v>1044</v>
      </c>
    </row>
    <row r="78" spans="17:19">
      <c r="R78" s="292"/>
      <c r="S78" s="479" t="s">
        <v>1046</v>
      </c>
    </row>
    <row r="79" spans="17:19">
      <c r="R79" s="292"/>
    </row>
    <row r="80" spans="17:19">
      <c r="R80" s="304"/>
    </row>
    <row r="82" spans="17:22">
      <c r="Q82" s="481"/>
      <c r="R82" s="481"/>
      <c r="S82" s="481"/>
      <c r="T82" s="481"/>
      <c r="U82" s="481"/>
      <c r="V82" s="481"/>
    </row>
    <row r="83" spans="17:22">
      <c r="Q83" s="481"/>
      <c r="R83" s="481"/>
      <c r="S83" s="481"/>
      <c r="T83" s="481"/>
      <c r="U83" s="481"/>
      <c r="V83" s="481"/>
    </row>
    <row r="84" spans="17:22">
      <c r="Q84" s="481"/>
      <c r="R84" s="497"/>
      <c r="S84" s="495"/>
      <c r="T84" s="531"/>
      <c r="U84" s="481"/>
      <c r="V84" s="481"/>
    </row>
    <row r="85" spans="17:22">
      <c r="Q85" s="481"/>
      <c r="R85" s="532"/>
      <c r="S85" s="533"/>
      <c r="T85" s="534"/>
      <c r="U85" s="481"/>
      <c r="V85" s="481"/>
    </row>
    <row r="86" spans="17:22">
      <c r="Q86" s="481"/>
      <c r="R86" s="532"/>
      <c r="S86" s="533"/>
      <c r="T86" s="534"/>
      <c r="U86" s="481"/>
      <c r="V86" s="481"/>
    </row>
    <row r="87" spans="17:22">
      <c r="Q87" s="481"/>
      <c r="R87" s="532"/>
      <c r="S87" s="533"/>
      <c r="T87" s="534"/>
      <c r="U87" s="481"/>
      <c r="V87" s="481"/>
    </row>
    <row r="88" spans="17:22">
      <c r="Q88" s="481"/>
      <c r="R88" s="535"/>
      <c r="S88" s="536"/>
      <c r="T88" s="537"/>
      <c r="U88" s="481"/>
      <c r="V88" s="481"/>
    </row>
    <row r="89" spans="17:22">
      <c r="Q89" s="481"/>
      <c r="R89" s="532"/>
      <c r="S89" s="533"/>
      <c r="T89" s="534"/>
      <c r="U89" s="481"/>
      <c r="V89" s="481"/>
    </row>
    <row r="90" spans="17:22">
      <c r="Q90" s="481"/>
      <c r="R90" s="532"/>
      <c r="S90" s="538"/>
      <c r="T90" s="534"/>
      <c r="U90" s="481"/>
      <c r="V90" s="481"/>
    </row>
    <row r="91" spans="17:22">
      <c r="Q91" s="481"/>
      <c r="R91" s="539"/>
      <c r="S91" s="538"/>
      <c r="T91" s="534"/>
      <c r="U91" s="481"/>
      <c r="V91" s="481"/>
    </row>
    <row r="92" spans="17:22">
      <c r="Q92" s="481"/>
      <c r="R92" s="539"/>
      <c r="S92" s="538"/>
      <c r="T92" s="534"/>
      <c r="U92" s="481"/>
      <c r="V92" s="481"/>
    </row>
    <row r="93" spans="17:22">
      <c r="Q93" s="481"/>
      <c r="R93" s="539"/>
      <c r="S93" s="533"/>
      <c r="T93" s="534"/>
      <c r="U93" s="481"/>
      <c r="V93" s="481"/>
    </row>
    <row r="94" spans="17:22">
      <c r="Q94" s="481"/>
      <c r="R94" s="539"/>
      <c r="S94" s="538"/>
      <c r="T94" s="534"/>
      <c r="U94" s="481"/>
      <c r="V94" s="481"/>
    </row>
    <row r="95" spans="17:22">
      <c r="Q95" s="481"/>
      <c r="R95" s="532"/>
      <c r="S95" s="533"/>
      <c r="T95" s="534"/>
      <c r="U95" s="481"/>
      <c r="V95" s="481"/>
    </row>
    <row r="96" spans="17:22">
      <c r="Q96" s="481"/>
      <c r="R96" s="532"/>
      <c r="S96" s="538"/>
      <c r="T96" s="534"/>
      <c r="U96" s="481"/>
      <c r="V96" s="481"/>
    </row>
    <row r="97" spans="17:22">
      <c r="Q97" s="481"/>
      <c r="R97" s="539"/>
      <c r="S97" s="538"/>
      <c r="T97" s="534"/>
      <c r="U97" s="481"/>
      <c r="V97" s="481"/>
    </row>
    <row r="98" spans="17:22">
      <c r="Q98" s="481"/>
      <c r="R98" s="532"/>
      <c r="S98" s="538"/>
      <c r="T98" s="534"/>
      <c r="U98" s="481"/>
      <c r="V98" s="481"/>
    </row>
    <row r="99" spans="17:22">
      <c r="Q99" s="481"/>
      <c r="R99" s="532"/>
      <c r="S99" s="538"/>
      <c r="T99" s="534"/>
      <c r="U99" s="481"/>
      <c r="V99" s="481"/>
    </row>
    <row r="100" spans="17:22">
      <c r="Q100" s="481"/>
      <c r="R100" s="532"/>
      <c r="S100" s="538"/>
      <c r="T100" s="534"/>
      <c r="U100" s="481"/>
      <c r="V100" s="481"/>
    </row>
    <row r="101" spans="17:22">
      <c r="Q101" s="481"/>
      <c r="R101" s="539"/>
      <c r="S101" s="538"/>
      <c r="T101" s="534"/>
      <c r="U101" s="481"/>
      <c r="V101" s="481"/>
    </row>
    <row r="102" spans="17:22">
      <c r="Q102" s="481"/>
      <c r="R102" s="532"/>
      <c r="S102" s="533"/>
      <c r="T102" s="534"/>
      <c r="U102" s="481"/>
      <c r="V102" s="481"/>
    </row>
    <row r="103" spans="17:22">
      <c r="Q103" s="481"/>
      <c r="R103" s="532"/>
      <c r="S103" s="533"/>
      <c r="T103" s="534"/>
      <c r="U103" s="481"/>
      <c r="V103" s="481"/>
    </row>
    <row r="104" spans="17:22">
      <c r="Q104" s="481"/>
      <c r="R104" s="539"/>
      <c r="S104" s="538"/>
      <c r="T104" s="534"/>
      <c r="U104" s="481"/>
      <c r="V104" s="481"/>
    </row>
    <row r="105" spans="17:22">
      <c r="Q105" s="481"/>
      <c r="R105" s="539"/>
      <c r="S105" s="538"/>
      <c r="T105" s="534"/>
      <c r="U105" s="481"/>
      <c r="V105" s="481"/>
    </row>
    <row r="106" spans="17:22">
      <c r="Q106" s="481"/>
      <c r="R106" s="532"/>
      <c r="S106" s="533"/>
      <c r="T106" s="534"/>
      <c r="U106" s="481"/>
      <c r="V106" s="481"/>
    </row>
    <row r="107" spans="17:22">
      <c r="Q107" s="481"/>
      <c r="R107" s="532"/>
      <c r="S107" s="538"/>
      <c r="T107" s="540"/>
      <c r="U107" s="481"/>
      <c r="V107" s="481"/>
    </row>
    <row r="108" spans="17:22">
      <c r="Q108" s="481"/>
      <c r="R108" s="532"/>
      <c r="S108" s="533"/>
      <c r="T108" s="534"/>
      <c r="U108" s="481"/>
      <c r="V108" s="481"/>
    </row>
    <row r="109" spans="17:22">
      <c r="Q109" s="481"/>
      <c r="R109" s="532"/>
      <c r="S109" s="533"/>
      <c r="T109" s="534"/>
      <c r="U109" s="481"/>
      <c r="V109" s="481"/>
    </row>
    <row r="110" spans="17:22">
      <c r="Q110" s="481"/>
      <c r="R110" s="539"/>
      <c r="S110" s="533"/>
      <c r="T110" s="534"/>
      <c r="U110" s="481"/>
      <c r="V110" s="481"/>
    </row>
    <row r="111" spans="17:22">
      <c r="Q111" s="481"/>
      <c r="R111" s="539"/>
      <c r="S111" s="533"/>
      <c r="T111" s="534"/>
      <c r="U111" s="481"/>
      <c r="V111" s="481"/>
    </row>
    <row r="112" spans="17:22">
      <c r="Q112" s="481"/>
      <c r="R112" s="539"/>
      <c r="S112" s="538"/>
      <c r="T112" s="534"/>
      <c r="U112" s="481"/>
      <c r="V112" s="481"/>
    </row>
    <row r="113" spans="17:22">
      <c r="Q113" s="481"/>
      <c r="R113" s="539"/>
      <c r="S113" s="538"/>
      <c r="T113" s="534"/>
      <c r="U113" s="481"/>
      <c r="V113" s="481"/>
    </row>
    <row r="114" spans="17:22">
      <c r="Q114" s="481"/>
      <c r="R114" s="539"/>
      <c r="S114" s="538"/>
      <c r="T114" s="534"/>
      <c r="U114" s="481"/>
      <c r="V114" s="481"/>
    </row>
    <row r="115" spans="17:22">
      <c r="Q115" s="481"/>
      <c r="R115" s="539"/>
      <c r="S115" s="538"/>
      <c r="T115" s="534"/>
      <c r="U115" s="481"/>
      <c r="V115" s="481"/>
    </row>
    <row r="116" spans="17:22">
      <c r="R116" s="539"/>
      <c r="S116" s="538"/>
      <c r="T116" s="534"/>
    </row>
  </sheetData>
  <mergeCells count="2">
    <mergeCell ref="S9:Z9"/>
    <mergeCell ref="C10:L10"/>
  </mergeCells>
  <dataValidations count="2">
    <dataValidation type="list" allowBlank="1" showInputMessage="1" showErrorMessage="1" sqref="B59 B36:B43 B29:B32 B17:B24 S27:S30 B11:B13 S13:S15 S17:S25 S32:S39" xr:uid="{00000000-0002-0000-2300-000000000000}">
      <formula1>Choix_capacité</formula1>
    </dataValidation>
    <dataValidation type="list" allowBlank="1" showInputMessage="1" showErrorMessage="1" sqref="P16 P10 P28 P35 N10" xr:uid="{00000000-0002-0000-2300-000001000000}">
      <formula1>choix</formula1>
    </dataValidation>
  </dataValidations>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7"/>
  <dimension ref="A3:AC81"/>
  <sheetViews>
    <sheetView topLeftCell="A3" zoomScale="80" zoomScaleNormal="80" workbookViewId="0">
      <selection activeCell="P12" sqref="P12"/>
    </sheetView>
  </sheetViews>
  <sheetFormatPr baseColWidth="10" defaultColWidth="11.5" defaultRowHeight="15"/>
  <cols>
    <col min="1" max="1" width="11.5" style="666"/>
    <col min="2" max="2" width="13.6640625" style="666" customWidth="1"/>
    <col min="3" max="3" width="15" style="666" customWidth="1"/>
    <col min="4" max="11" width="11.5" style="666"/>
    <col min="12" max="12" width="18.5" style="666" customWidth="1"/>
    <col min="13" max="14" width="13.5" style="666" bestFit="1" customWidth="1"/>
    <col min="15" max="16" width="11.5" style="666"/>
    <col min="17" max="17" width="11.5" style="612"/>
    <col min="18" max="21" width="11.5" style="666"/>
    <col min="22" max="22" width="18.33203125" style="666" customWidth="1"/>
    <col min="23" max="28" width="11.5" style="666"/>
    <col min="29" max="29" width="17.5" style="666" customWidth="1"/>
    <col min="30" max="16384" width="11.5" style="666"/>
  </cols>
  <sheetData>
    <row r="3" spans="1:29" ht="16" thickBot="1"/>
    <row r="4" spans="1:29" ht="19">
      <c r="B4" s="327" t="s">
        <v>1229</v>
      </c>
      <c r="C4" s="228" t="s">
        <v>126</v>
      </c>
      <c r="D4" s="229" t="s">
        <v>54</v>
      </c>
      <c r="E4" s="679" t="s">
        <v>1230</v>
      </c>
    </row>
    <row r="5" spans="1:29">
      <c r="C5" s="230" t="s">
        <v>55</v>
      </c>
      <c r="D5" s="231">
        <v>21</v>
      </c>
    </row>
    <row r="6" spans="1:29" ht="16" thickBot="1">
      <c r="C6" s="232" t="s">
        <v>62</v>
      </c>
      <c r="D6" s="518">
        <v>15</v>
      </c>
    </row>
    <row r="7" spans="1:29" ht="49" thickBot="1">
      <c r="M7" s="320" t="s">
        <v>125</v>
      </c>
      <c r="N7" s="320" t="s">
        <v>408</v>
      </c>
      <c r="O7" s="680"/>
      <c r="P7" s="277"/>
    </row>
    <row r="8" spans="1:29" ht="16">
      <c r="A8" s="415" t="s">
        <v>489</v>
      </c>
      <c r="O8" s="329"/>
      <c r="P8" s="1041" t="s">
        <v>567</v>
      </c>
      <c r="Q8" s="1042"/>
      <c r="R8" s="1042"/>
      <c r="S8" s="1042"/>
      <c r="T8" s="1042"/>
      <c r="U8" s="1042"/>
      <c r="V8" s="1042"/>
      <c r="W8" s="1042"/>
      <c r="X8" s="266"/>
      <c r="Y8" s="266"/>
      <c r="Z8" s="266"/>
      <c r="AA8" s="266"/>
      <c r="AB8" s="266"/>
      <c r="AC8" s="266"/>
    </row>
    <row r="9" spans="1:29" ht="16" thickBot="1">
      <c r="O9" s="690"/>
      <c r="P9" s="680"/>
      <c r="Q9" s="683"/>
      <c r="R9" s="683"/>
      <c r="S9" s="683"/>
      <c r="T9" s="683"/>
      <c r="U9" s="683"/>
      <c r="V9" s="683"/>
      <c r="X9" s="667"/>
      <c r="Y9" s="667"/>
      <c r="Z9" s="667"/>
      <c r="AA9" s="667"/>
      <c r="AB9" s="667"/>
      <c r="AC9" s="667"/>
    </row>
    <row r="10" spans="1:29" ht="17" thickBot="1">
      <c r="A10" s="698" t="s">
        <v>127</v>
      </c>
      <c r="B10" s="672"/>
      <c r="C10" s="411" t="s">
        <v>642</v>
      </c>
      <c r="D10" s="274"/>
      <c r="E10" s="274"/>
      <c r="F10" s="274"/>
      <c r="G10" s="274"/>
      <c r="H10" s="274"/>
      <c r="I10" s="274"/>
      <c r="J10" s="274"/>
      <c r="K10" s="274"/>
      <c r="L10" s="274"/>
      <c r="M10" s="678">
        <v>2</v>
      </c>
      <c r="N10" s="697" t="s">
        <v>407</v>
      </c>
      <c r="O10" s="690"/>
      <c r="P10" s="413" t="s">
        <v>176</v>
      </c>
      <c r="Q10" s="684"/>
      <c r="R10" s="680"/>
      <c r="S10" s="680"/>
      <c r="T10" s="680"/>
      <c r="U10" s="680"/>
      <c r="V10" s="680"/>
      <c r="X10" s="667"/>
      <c r="Y10" s="667"/>
      <c r="Z10" s="667"/>
      <c r="AA10" s="667"/>
      <c r="AB10" s="667"/>
      <c r="AC10" s="667"/>
    </row>
    <row r="11" spans="1:29">
      <c r="B11" s="679" t="s">
        <v>410</v>
      </c>
      <c r="C11" s="936" t="s">
        <v>1231</v>
      </c>
      <c r="L11" s="616"/>
      <c r="O11" s="690"/>
      <c r="P11" s="666" t="s">
        <v>1232</v>
      </c>
      <c r="Q11" s="684"/>
      <c r="R11" s="680"/>
      <c r="S11" s="680"/>
      <c r="T11" s="680"/>
      <c r="U11" s="680"/>
      <c r="V11" s="680"/>
      <c r="W11" s="268"/>
      <c r="X11" s="667"/>
      <c r="Y11" s="667"/>
      <c r="Z11" s="667"/>
      <c r="AA11" s="667"/>
      <c r="AB11" s="667"/>
      <c r="AC11" s="667"/>
    </row>
    <row r="12" spans="1:29">
      <c r="B12" s="679" t="s">
        <v>410</v>
      </c>
      <c r="C12" s="936" t="s">
        <v>1233</v>
      </c>
      <c r="O12" s="690"/>
      <c r="P12" s="686"/>
      <c r="Q12" s="684"/>
      <c r="R12" s="680"/>
      <c r="S12" s="680"/>
      <c r="T12" s="680"/>
      <c r="U12" s="680"/>
      <c r="V12" s="680"/>
      <c r="X12" s="667"/>
      <c r="Y12" s="667"/>
      <c r="Z12" s="667"/>
      <c r="AA12" s="667"/>
      <c r="AB12" s="667"/>
      <c r="AC12" s="667"/>
    </row>
    <row r="13" spans="1:29">
      <c r="B13" s="679" t="s">
        <v>410</v>
      </c>
      <c r="C13" s="936" t="s">
        <v>1234</v>
      </c>
      <c r="O13" s="690"/>
      <c r="P13" s="414"/>
      <c r="Q13" s="684"/>
      <c r="R13" s="680"/>
      <c r="S13" s="680"/>
      <c r="T13" s="680"/>
      <c r="U13" s="680"/>
      <c r="V13" s="680"/>
      <c r="X13" s="667"/>
      <c r="Y13" s="667"/>
      <c r="Z13" s="667"/>
      <c r="AA13" s="667"/>
      <c r="AB13" s="667"/>
      <c r="AC13" s="667"/>
    </row>
    <row r="14" spans="1:29">
      <c r="B14" s="679" t="s">
        <v>1235</v>
      </c>
      <c r="C14" s="936" t="s">
        <v>1236</v>
      </c>
      <c r="O14" s="690"/>
      <c r="P14" s="414"/>
      <c r="Q14" s="684"/>
      <c r="R14" s="680"/>
      <c r="S14" s="680"/>
      <c r="T14" s="680"/>
      <c r="U14" s="680"/>
      <c r="V14" s="680"/>
      <c r="X14" s="667"/>
      <c r="Y14" s="667"/>
      <c r="Z14" s="667"/>
      <c r="AA14" s="667"/>
      <c r="AB14" s="667"/>
      <c r="AC14" s="667"/>
    </row>
    <row r="15" spans="1:29">
      <c r="B15" s="679" t="s">
        <v>411</v>
      </c>
      <c r="O15" s="690"/>
      <c r="Q15" s="684"/>
      <c r="R15" s="680"/>
      <c r="S15" s="680"/>
      <c r="T15" s="680"/>
      <c r="U15" s="680"/>
      <c r="V15" s="680"/>
      <c r="X15" s="667"/>
      <c r="Y15" s="667"/>
      <c r="Z15" s="667"/>
      <c r="AA15" s="667"/>
      <c r="AB15" s="667"/>
      <c r="AC15" s="667"/>
    </row>
    <row r="16" spans="1:29">
      <c r="B16" s="679" t="s">
        <v>411</v>
      </c>
      <c r="O16" s="690"/>
      <c r="P16" s="621"/>
      <c r="Q16" s="684"/>
      <c r="R16" s="680"/>
      <c r="S16" s="680"/>
      <c r="T16" s="680"/>
      <c r="U16" s="680"/>
      <c r="V16" s="680"/>
      <c r="X16" s="667"/>
      <c r="Y16" s="667"/>
      <c r="Z16" s="667"/>
      <c r="AA16" s="667"/>
      <c r="AB16" s="667"/>
      <c r="AC16" s="667"/>
    </row>
    <row r="17" spans="1:29">
      <c r="B17" s="679" t="s">
        <v>411</v>
      </c>
      <c r="O17" s="690"/>
      <c r="P17" s="686"/>
      <c r="Q17" s="684"/>
      <c r="R17" s="680"/>
      <c r="S17" s="680"/>
      <c r="T17" s="680"/>
      <c r="U17" s="680"/>
      <c r="V17" s="680"/>
      <c r="X17" s="667"/>
      <c r="Y17" s="667"/>
      <c r="Z17" s="667"/>
      <c r="AA17" s="667"/>
      <c r="AB17" s="667"/>
      <c r="AC17" s="667"/>
    </row>
    <row r="18" spans="1:29" ht="15" customHeight="1">
      <c r="B18" s="679" t="s">
        <v>130</v>
      </c>
      <c r="O18" s="690"/>
      <c r="P18" s="686"/>
      <c r="Q18" s="685"/>
      <c r="R18" s="266"/>
      <c r="S18" s="266"/>
      <c r="T18" s="266"/>
      <c r="U18" s="266"/>
      <c r="V18" s="266"/>
      <c r="X18" s="680"/>
      <c r="Y18" s="680"/>
      <c r="Z18" s="680"/>
      <c r="AA18" s="680"/>
      <c r="AB18" s="680"/>
      <c r="AC18" s="680"/>
    </row>
    <row r="19" spans="1:29">
      <c r="O19" s="690"/>
      <c r="P19" s="414"/>
      <c r="Q19" s="685"/>
      <c r="R19" s="266"/>
      <c r="S19" s="266"/>
      <c r="T19" s="266"/>
      <c r="U19" s="266"/>
      <c r="V19" s="266"/>
      <c r="X19" s="680"/>
      <c r="Y19" s="680"/>
      <c r="Z19" s="680"/>
      <c r="AA19" s="680"/>
      <c r="AB19" s="680"/>
      <c r="AC19" s="680"/>
    </row>
    <row r="20" spans="1:29" ht="16" thickBot="1">
      <c r="O20" s="690"/>
      <c r="Q20" s="699"/>
      <c r="T20" s="680"/>
      <c r="U20" s="680"/>
      <c r="V20" s="680"/>
      <c r="X20" s="680"/>
      <c r="Y20" s="680"/>
      <c r="Z20" s="680"/>
      <c r="AA20" s="680"/>
      <c r="AB20" s="680"/>
      <c r="AC20" s="680"/>
    </row>
    <row r="21" spans="1:29" ht="16.5" customHeight="1" thickBot="1">
      <c r="A21" s="698" t="s">
        <v>128</v>
      </c>
      <c r="B21" s="672"/>
      <c r="C21" s="411" t="s">
        <v>629</v>
      </c>
      <c r="D21" s="274"/>
      <c r="E21" s="274"/>
      <c r="F21" s="274"/>
      <c r="G21" s="274"/>
      <c r="H21" s="274"/>
      <c r="I21" s="274"/>
      <c r="J21" s="274"/>
      <c r="K21" s="274"/>
      <c r="L21" s="274"/>
      <c r="M21" s="678">
        <v>2</v>
      </c>
      <c r="N21" s="697" t="s">
        <v>409</v>
      </c>
      <c r="O21" s="690"/>
      <c r="P21" s="621"/>
      <c r="Q21" s="666"/>
      <c r="T21" s="680"/>
      <c r="U21" s="680"/>
      <c r="V21" s="680"/>
      <c r="X21" s="680"/>
      <c r="Y21" s="680"/>
      <c r="Z21" s="680"/>
      <c r="AA21" s="680"/>
      <c r="AB21" s="680"/>
      <c r="AC21" s="680"/>
    </row>
    <row r="22" spans="1:29">
      <c r="B22" s="679" t="s">
        <v>410</v>
      </c>
      <c r="C22" s="936" t="s">
        <v>1237</v>
      </c>
      <c r="L22" s="616"/>
      <c r="O22" s="690"/>
      <c r="P22" s="686"/>
      <c r="Q22" s="666"/>
    </row>
    <row r="23" spans="1:29">
      <c r="B23" s="679" t="s">
        <v>410</v>
      </c>
      <c r="C23" s="936" t="s">
        <v>1238</v>
      </c>
      <c r="L23" s="616"/>
      <c r="O23" s="690"/>
      <c r="P23" s="686"/>
      <c r="Q23" s="666"/>
    </row>
    <row r="24" spans="1:29">
      <c r="B24" s="679" t="s">
        <v>1239</v>
      </c>
      <c r="C24" s="666" t="s">
        <v>1240</v>
      </c>
      <c r="L24" s="616"/>
      <c r="O24" s="690"/>
      <c r="P24" s="686"/>
      <c r="Q24" s="666"/>
    </row>
    <row r="25" spans="1:29" ht="16.5" customHeight="1">
      <c r="B25" s="679" t="s">
        <v>411</v>
      </c>
      <c r="C25" s="666" t="s">
        <v>1241</v>
      </c>
      <c r="O25" s="690"/>
      <c r="P25" s="686"/>
      <c r="Q25" s="666"/>
      <c r="T25" s="269"/>
      <c r="U25" s="269"/>
      <c r="V25" s="269"/>
    </row>
    <row r="26" spans="1:29">
      <c r="B26" s="679" t="s">
        <v>130</v>
      </c>
      <c r="C26" s="679"/>
      <c r="O26" s="690"/>
      <c r="P26" s="414"/>
      <c r="Q26" s="666"/>
    </row>
    <row r="27" spans="1:29" ht="16" thickBot="1">
      <c r="O27" s="690"/>
      <c r="Q27" s="666"/>
    </row>
    <row r="28" spans="1:29" ht="17" thickBot="1">
      <c r="A28" s="698" t="s">
        <v>129</v>
      </c>
      <c r="B28" s="672"/>
      <c r="C28" s="411" t="s">
        <v>492</v>
      </c>
      <c r="D28" s="274"/>
      <c r="E28" s="274"/>
      <c r="F28" s="274"/>
      <c r="G28" s="274"/>
      <c r="H28" s="274"/>
      <c r="I28" s="274"/>
      <c r="J28" s="274"/>
      <c r="K28" s="274"/>
      <c r="L28" s="274"/>
      <c r="M28" s="678">
        <v>2</v>
      </c>
      <c r="N28" s="697" t="s">
        <v>409</v>
      </c>
      <c r="O28" s="690"/>
      <c r="Q28" s="666"/>
    </row>
    <row r="29" spans="1:29">
      <c r="B29" s="679" t="s">
        <v>410</v>
      </c>
      <c r="C29" s="936" t="s">
        <v>1242</v>
      </c>
      <c r="L29" s="616"/>
      <c r="O29" s="690"/>
      <c r="P29" s="413" t="s">
        <v>186</v>
      </c>
      <c r="Q29" s="666"/>
    </row>
    <row r="30" spans="1:29">
      <c r="B30" s="679" t="s">
        <v>410</v>
      </c>
      <c r="C30" s="936" t="s">
        <v>1243</v>
      </c>
      <c r="O30" s="690"/>
      <c r="P30" s="623" t="s">
        <v>1244</v>
      </c>
      <c r="Q30" s="666"/>
    </row>
    <row r="31" spans="1:29">
      <c r="B31" s="679" t="s">
        <v>410</v>
      </c>
      <c r="C31" s="936" t="s">
        <v>635</v>
      </c>
      <c r="O31" s="690"/>
      <c r="P31" s="623" t="s">
        <v>1245</v>
      </c>
      <c r="Q31" s="666"/>
    </row>
    <row r="32" spans="1:29">
      <c r="B32" s="679" t="s">
        <v>411</v>
      </c>
      <c r="C32" s="666" t="s">
        <v>1246</v>
      </c>
      <c r="O32" s="693"/>
      <c r="P32" s="623" t="s">
        <v>1247</v>
      </c>
      <c r="Q32" s="666"/>
    </row>
    <row r="33" spans="1:18">
      <c r="B33" s="679" t="s">
        <v>130</v>
      </c>
      <c r="C33" s="679"/>
      <c r="O33" s="690"/>
      <c r="P33" s="623" t="s">
        <v>1248</v>
      </c>
      <c r="Q33" s="666"/>
    </row>
    <row r="34" spans="1:18" ht="16" thickBot="1">
      <c r="B34" s="679"/>
      <c r="O34" s="690"/>
      <c r="P34" s="621"/>
      <c r="Q34" s="666"/>
    </row>
    <row r="35" spans="1:18" ht="17" thickBot="1">
      <c r="A35" s="698" t="s">
        <v>140</v>
      </c>
      <c r="B35" s="672"/>
      <c r="C35" s="411" t="s">
        <v>637</v>
      </c>
      <c r="D35" s="274"/>
      <c r="E35" s="274"/>
      <c r="F35" s="274"/>
      <c r="G35" s="274"/>
      <c r="H35" s="274"/>
      <c r="I35" s="274"/>
      <c r="J35" s="274"/>
      <c r="K35" s="274"/>
      <c r="L35" s="274"/>
      <c r="M35" s="678">
        <v>2</v>
      </c>
      <c r="N35" s="697" t="s">
        <v>409</v>
      </c>
      <c r="O35" s="690"/>
      <c r="P35" s="686"/>
      <c r="Q35" s="666"/>
    </row>
    <row r="36" spans="1:18" ht="16">
      <c r="A36" s="665"/>
      <c r="B36" s="671" t="s">
        <v>410</v>
      </c>
      <c r="C36" s="936" t="s">
        <v>1249</v>
      </c>
      <c r="D36" s="179"/>
      <c r="E36" s="179"/>
      <c r="F36" s="179"/>
      <c r="G36" s="179"/>
      <c r="H36" s="179"/>
      <c r="I36" s="179"/>
      <c r="J36" s="179"/>
      <c r="K36" s="179"/>
      <c r="L36" s="179"/>
      <c r="M36" s="661"/>
      <c r="N36" s="680"/>
      <c r="O36" s="690"/>
      <c r="P36" s="686"/>
      <c r="Q36" s="666"/>
    </row>
    <row r="37" spans="1:18">
      <c r="B37" s="679" t="s">
        <v>410</v>
      </c>
      <c r="C37" s="936" t="s">
        <v>638</v>
      </c>
      <c r="L37" s="616"/>
      <c r="O37" s="690"/>
      <c r="Q37" s="666"/>
    </row>
    <row r="38" spans="1:18">
      <c r="B38" s="679" t="s">
        <v>411</v>
      </c>
      <c r="C38" s="666" t="s">
        <v>639</v>
      </c>
      <c r="O38" s="690"/>
      <c r="P38" s="621"/>
      <c r="Q38" s="666"/>
    </row>
    <row r="39" spans="1:18">
      <c r="B39" s="679" t="s">
        <v>411</v>
      </c>
      <c r="C39" s="666" t="s">
        <v>640</v>
      </c>
      <c r="O39" s="690"/>
      <c r="P39" s="686"/>
      <c r="Q39" s="666"/>
    </row>
    <row r="40" spans="1:18">
      <c r="B40" s="679" t="s">
        <v>130</v>
      </c>
      <c r="C40" s="679" t="s">
        <v>641</v>
      </c>
      <c r="O40" s="690"/>
      <c r="P40" s="686"/>
      <c r="Q40" s="666"/>
    </row>
    <row r="41" spans="1:18">
      <c r="B41" s="679"/>
      <c r="L41" s="616"/>
      <c r="O41" s="690"/>
      <c r="P41" s="686"/>
      <c r="Q41" s="666"/>
    </row>
    <row r="42" spans="1:18">
      <c r="B42" s="679"/>
      <c r="O42" s="690"/>
      <c r="P42" s="686"/>
    </row>
    <row r="43" spans="1:18">
      <c r="B43" s="679"/>
      <c r="O43" s="680"/>
      <c r="P43" s="686"/>
    </row>
    <row r="44" spans="1:18">
      <c r="B44" s="679"/>
      <c r="O44" s="680"/>
      <c r="P44" s="686"/>
    </row>
    <row r="45" spans="1:18">
      <c r="B45" s="679"/>
      <c r="O45" s="680"/>
      <c r="P45" s="686"/>
      <c r="R45" s="679"/>
    </row>
    <row r="46" spans="1:18">
      <c r="B46" s="679"/>
      <c r="C46" s="679"/>
      <c r="O46" s="680"/>
    </row>
    <row r="51" spans="17:17">
      <c r="Q51" s="666"/>
    </row>
    <row r="52" spans="17:17">
      <c r="Q52" s="666"/>
    </row>
    <row r="53" spans="17:17">
      <c r="Q53" s="666"/>
    </row>
    <row r="54" spans="17:17">
      <c r="Q54" s="666"/>
    </row>
    <row r="55" spans="17:17">
      <c r="Q55" s="666"/>
    </row>
    <row r="56" spans="17:17">
      <c r="Q56" s="666"/>
    </row>
    <row r="57" spans="17:17">
      <c r="Q57" s="666"/>
    </row>
    <row r="58" spans="17:17">
      <c r="Q58" s="666"/>
    </row>
    <row r="59" spans="17:17">
      <c r="Q59" s="666"/>
    </row>
    <row r="61" spans="17:17">
      <c r="Q61" s="666"/>
    </row>
    <row r="62" spans="17:17">
      <c r="Q62" s="666"/>
    </row>
    <row r="63" spans="17:17">
      <c r="Q63" s="666"/>
    </row>
    <row r="64" spans="17:17">
      <c r="Q64" s="666"/>
    </row>
    <row r="65" spans="17:17">
      <c r="Q65" s="666"/>
    </row>
    <row r="66" spans="17:17">
      <c r="Q66" s="666"/>
    </row>
    <row r="67" spans="17:17">
      <c r="Q67" s="666"/>
    </row>
    <row r="68" spans="17:17">
      <c r="Q68" s="666"/>
    </row>
    <row r="69" spans="17:17">
      <c r="Q69" s="666"/>
    </row>
    <row r="70" spans="17:17">
      <c r="Q70" s="666"/>
    </row>
    <row r="71" spans="17:17">
      <c r="Q71" s="666"/>
    </row>
    <row r="72" spans="17:17">
      <c r="Q72" s="666"/>
    </row>
    <row r="73" spans="17:17">
      <c r="Q73" s="666"/>
    </row>
    <row r="74" spans="17:17">
      <c r="Q74" s="666"/>
    </row>
    <row r="75" spans="17:17">
      <c r="Q75" s="666"/>
    </row>
    <row r="76" spans="17:17">
      <c r="Q76" s="666"/>
    </row>
    <row r="77" spans="17:17">
      <c r="Q77" s="666"/>
    </row>
    <row r="78" spans="17:17">
      <c r="Q78" s="666"/>
    </row>
    <row r="79" spans="17:17">
      <c r="Q79" s="666"/>
    </row>
    <row r="81" spans="2:17">
      <c r="B81" s="679"/>
      <c r="Q81" s="666"/>
    </row>
  </sheetData>
  <mergeCells count="1">
    <mergeCell ref="P8:W8"/>
  </mergeCells>
  <dataValidations count="2">
    <dataValidation type="list" allowBlank="1" showInputMessage="1" showErrorMessage="1" sqref="B29:B32 B37:B39 B81 B41:B45 B34 B11:B17 B22:B25" xr:uid="{00000000-0002-0000-2400-000000000000}">
      <formula1>Choix_capacité</formula1>
    </dataValidation>
    <dataValidation type="list" allowBlank="1" showInputMessage="1" showErrorMessage="1" sqref="N35:N36 N28 N21 N10" xr:uid="{00000000-0002-0000-2400-000001000000}">
      <formula1>choix</formula1>
    </dataValidation>
  </dataValidations>
  <pageMargins left="0.7" right="0.7" top="0.75" bottom="0.75" header="0.3" footer="0.3"/>
  <pageSetup paperSize="9"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38"/>
  <dimension ref="A3:AC81"/>
  <sheetViews>
    <sheetView zoomScale="80" zoomScaleNormal="80" workbookViewId="0">
      <selection activeCell="P12" sqref="P12"/>
    </sheetView>
  </sheetViews>
  <sheetFormatPr baseColWidth="10" defaultColWidth="11.5" defaultRowHeight="15"/>
  <cols>
    <col min="1" max="1" width="11.5" style="666"/>
    <col min="2" max="2" width="13.6640625" style="666" customWidth="1"/>
    <col min="3" max="3" width="15" style="666" customWidth="1"/>
    <col min="4" max="11" width="11.5" style="666"/>
    <col min="12" max="12" width="18.5" style="666" customWidth="1"/>
    <col min="13" max="14" width="13.5" style="666" bestFit="1" customWidth="1"/>
    <col min="15" max="16" width="11.5" style="666"/>
    <col min="17" max="17" width="11.5" style="612"/>
    <col min="18" max="21" width="11.5" style="666"/>
    <col min="22" max="22" width="18.33203125" style="666" customWidth="1"/>
    <col min="23" max="28" width="11.5" style="666"/>
    <col min="29" max="29" width="17.5" style="666" customWidth="1"/>
    <col min="30" max="16384" width="11.5" style="666"/>
  </cols>
  <sheetData>
    <row r="3" spans="1:29" ht="16" thickBot="1"/>
    <row r="4" spans="1:29" ht="19">
      <c r="B4" s="327" t="s">
        <v>1250</v>
      </c>
      <c r="C4" s="228" t="s">
        <v>126</v>
      </c>
      <c r="D4" s="229" t="s">
        <v>1251</v>
      </c>
      <c r="E4" s="679"/>
    </row>
    <row r="5" spans="1:29">
      <c r="C5" s="230" t="s">
        <v>55</v>
      </c>
      <c r="D5" s="231">
        <v>30</v>
      </c>
    </row>
    <row r="6" spans="1:29" ht="16" thickBot="1">
      <c r="C6" s="232" t="s">
        <v>62</v>
      </c>
      <c r="D6" s="518">
        <v>2</v>
      </c>
    </row>
    <row r="7" spans="1:29" ht="49" thickBot="1">
      <c r="M7" s="320" t="s">
        <v>125</v>
      </c>
      <c r="N7" s="320" t="s">
        <v>408</v>
      </c>
      <c r="O7" s="680"/>
      <c r="P7" s="277"/>
    </row>
    <row r="8" spans="1:29" ht="16">
      <c r="A8" s="415" t="s">
        <v>489</v>
      </c>
      <c r="O8" s="329"/>
      <c r="P8" s="1041" t="s">
        <v>567</v>
      </c>
      <c r="Q8" s="1042"/>
      <c r="R8" s="1042"/>
      <c r="S8" s="1042"/>
      <c r="T8" s="1042"/>
      <c r="U8" s="1042"/>
      <c r="V8" s="1042"/>
      <c r="W8" s="1042"/>
      <c r="X8" s="266"/>
      <c r="Y8" s="266"/>
      <c r="Z8" s="266"/>
      <c r="AA8" s="266"/>
      <c r="AB8" s="266"/>
      <c r="AC8" s="266"/>
    </row>
    <row r="9" spans="1:29" ht="16" thickBot="1">
      <c r="O9" s="690"/>
      <c r="P9" s="680"/>
      <c r="Q9" s="683"/>
      <c r="R9" s="683"/>
      <c r="S9" s="683"/>
      <c r="T9" s="683"/>
      <c r="U9" s="683"/>
      <c r="V9" s="683"/>
      <c r="X9" s="667"/>
      <c r="Y9" s="667"/>
      <c r="Z9" s="667"/>
      <c r="AA9" s="667"/>
      <c r="AB9" s="667"/>
      <c r="AC9" s="667"/>
    </row>
    <row r="10" spans="1:29" ht="17" thickBot="1">
      <c r="A10" s="698" t="s">
        <v>127</v>
      </c>
      <c r="B10" s="672"/>
      <c r="C10" s="411" t="s">
        <v>642</v>
      </c>
      <c r="D10" s="274"/>
      <c r="E10" s="274"/>
      <c r="F10" s="274"/>
      <c r="G10" s="274"/>
      <c r="H10" s="274"/>
      <c r="I10" s="274"/>
      <c r="J10" s="274"/>
      <c r="K10" s="274"/>
      <c r="L10" s="274"/>
      <c r="M10" s="678">
        <v>2</v>
      </c>
      <c r="N10" s="697" t="s">
        <v>407</v>
      </c>
      <c r="O10" s="690"/>
      <c r="P10" s="413" t="s">
        <v>176</v>
      </c>
      <c r="Q10" s="684"/>
      <c r="R10" s="680"/>
      <c r="S10" s="680"/>
      <c r="T10" s="680"/>
      <c r="U10" s="680"/>
      <c r="V10" s="680"/>
      <c r="X10" s="667"/>
      <c r="Y10" s="667"/>
      <c r="Z10" s="667"/>
      <c r="AA10" s="667"/>
      <c r="AB10" s="667"/>
      <c r="AC10" s="667"/>
    </row>
    <row r="11" spans="1:29">
      <c r="B11" s="679" t="s">
        <v>410</v>
      </c>
      <c r="C11" s="666" t="s">
        <v>1231</v>
      </c>
      <c r="L11" s="616"/>
      <c r="O11" s="690"/>
      <c r="P11" s="666" t="s">
        <v>1252</v>
      </c>
      <c r="Q11" s="684"/>
      <c r="R11" s="680"/>
      <c r="S11" s="680"/>
      <c r="T11" s="680"/>
      <c r="U11" s="680"/>
      <c r="V11" s="680"/>
      <c r="W11" s="268"/>
      <c r="X11" s="667"/>
      <c r="Y11" s="667"/>
      <c r="Z11" s="667"/>
      <c r="AA11" s="667"/>
      <c r="AB11" s="667"/>
      <c r="AC11" s="667"/>
    </row>
    <row r="12" spans="1:29">
      <c r="B12" s="679" t="s">
        <v>410</v>
      </c>
      <c r="C12" s="666" t="s">
        <v>1233</v>
      </c>
      <c r="O12" s="690"/>
      <c r="P12" s="686"/>
      <c r="Q12" s="684"/>
      <c r="R12" s="680"/>
      <c r="S12" s="680"/>
      <c r="T12" s="680"/>
      <c r="U12" s="680"/>
      <c r="V12" s="680"/>
      <c r="X12" s="667"/>
      <c r="Y12" s="667"/>
      <c r="Z12" s="667"/>
      <c r="AA12" s="667"/>
      <c r="AB12" s="667"/>
      <c r="AC12" s="667"/>
    </row>
    <row r="13" spans="1:29">
      <c r="B13" s="679" t="s">
        <v>410</v>
      </c>
      <c r="C13" s="666" t="s">
        <v>1234</v>
      </c>
      <c r="O13" s="690"/>
      <c r="P13" s="414"/>
      <c r="Q13" s="684"/>
      <c r="R13" s="680"/>
      <c r="S13" s="680"/>
      <c r="T13" s="680"/>
      <c r="U13" s="680"/>
      <c r="V13" s="680"/>
      <c r="X13" s="667"/>
      <c r="Y13" s="667"/>
      <c r="Z13" s="667"/>
      <c r="AA13" s="667"/>
      <c r="AB13" s="667"/>
      <c r="AC13" s="667"/>
    </row>
    <row r="14" spans="1:29">
      <c r="B14" s="679" t="s">
        <v>1235</v>
      </c>
      <c r="C14" s="666" t="s">
        <v>1236</v>
      </c>
      <c r="O14" s="690"/>
      <c r="P14" s="414"/>
      <c r="Q14" s="684"/>
      <c r="R14" s="680"/>
      <c r="S14" s="680"/>
      <c r="T14" s="680"/>
      <c r="U14" s="680"/>
      <c r="V14" s="680"/>
      <c r="X14" s="667"/>
      <c r="Y14" s="667"/>
      <c r="Z14" s="667"/>
      <c r="AA14" s="667"/>
      <c r="AB14" s="667"/>
      <c r="AC14" s="667"/>
    </row>
    <row r="15" spans="1:29">
      <c r="B15" s="679" t="s">
        <v>411</v>
      </c>
      <c r="O15" s="690"/>
      <c r="Q15" s="684"/>
      <c r="R15" s="680"/>
      <c r="S15" s="680"/>
      <c r="T15" s="680"/>
      <c r="U15" s="680"/>
      <c r="V15" s="680"/>
      <c r="X15" s="667"/>
      <c r="Y15" s="667"/>
      <c r="Z15" s="667"/>
      <c r="AA15" s="667"/>
      <c r="AB15" s="667"/>
      <c r="AC15" s="667"/>
    </row>
    <row r="16" spans="1:29">
      <c r="B16" s="679" t="s">
        <v>411</v>
      </c>
      <c r="O16" s="690"/>
      <c r="P16" s="621"/>
      <c r="Q16" s="684"/>
      <c r="R16" s="680"/>
      <c r="S16" s="680"/>
      <c r="T16" s="680"/>
      <c r="U16" s="680"/>
      <c r="V16" s="680"/>
      <c r="X16" s="667"/>
      <c r="Y16" s="667"/>
      <c r="Z16" s="667"/>
      <c r="AA16" s="667"/>
      <c r="AB16" s="667"/>
      <c r="AC16" s="667"/>
    </row>
    <row r="17" spans="1:29">
      <c r="B17" s="679" t="s">
        <v>411</v>
      </c>
      <c r="O17" s="690"/>
      <c r="P17" s="686"/>
      <c r="Q17" s="684"/>
      <c r="R17" s="680"/>
      <c r="S17" s="680"/>
      <c r="T17" s="680"/>
      <c r="U17" s="680"/>
      <c r="V17" s="680"/>
      <c r="X17" s="667"/>
      <c r="Y17" s="667"/>
      <c r="Z17" s="667"/>
      <c r="AA17" s="667"/>
      <c r="AB17" s="667"/>
      <c r="AC17" s="667"/>
    </row>
    <row r="18" spans="1:29" ht="15" customHeight="1">
      <c r="B18" s="679" t="s">
        <v>130</v>
      </c>
      <c r="O18" s="690"/>
      <c r="P18" s="686"/>
      <c r="Q18" s="685"/>
      <c r="R18" s="266"/>
      <c r="S18" s="266"/>
      <c r="T18" s="266"/>
      <c r="U18" s="266"/>
      <c r="V18" s="266"/>
      <c r="X18" s="680"/>
      <c r="Y18" s="680"/>
      <c r="Z18" s="680"/>
      <c r="AA18" s="680"/>
      <c r="AB18" s="680"/>
      <c r="AC18" s="680"/>
    </row>
    <row r="19" spans="1:29">
      <c r="O19" s="690"/>
      <c r="P19" s="414"/>
      <c r="Q19" s="685"/>
      <c r="R19" s="266"/>
      <c r="S19" s="266"/>
      <c r="T19" s="266"/>
      <c r="U19" s="266"/>
      <c r="V19" s="266"/>
      <c r="X19" s="680"/>
      <c r="Y19" s="680"/>
      <c r="Z19" s="680"/>
      <c r="AA19" s="680"/>
      <c r="AB19" s="680"/>
      <c r="AC19" s="680"/>
    </row>
    <row r="20" spans="1:29" ht="16" thickBot="1">
      <c r="O20" s="690"/>
      <c r="Q20" s="699"/>
      <c r="T20" s="680"/>
      <c r="U20" s="680"/>
      <c r="V20" s="680"/>
      <c r="X20" s="680"/>
      <c r="Y20" s="680"/>
      <c r="Z20" s="680"/>
      <c r="AA20" s="680"/>
      <c r="AB20" s="680"/>
      <c r="AC20" s="680"/>
    </row>
    <row r="21" spans="1:29" ht="16.5" customHeight="1" thickBot="1">
      <c r="A21" s="698" t="s">
        <v>128</v>
      </c>
      <c r="B21" s="672"/>
      <c r="C21" s="411" t="s">
        <v>629</v>
      </c>
      <c r="D21" s="274"/>
      <c r="E21" s="274"/>
      <c r="F21" s="274"/>
      <c r="G21" s="274"/>
      <c r="H21" s="274"/>
      <c r="I21" s="274"/>
      <c r="J21" s="274"/>
      <c r="K21" s="274"/>
      <c r="L21" s="274"/>
      <c r="M21" s="678">
        <v>2</v>
      </c>
      <c r="N21" s="697" t="s">
        <v>409</v>
      </c>
      <c r="O21" s="690"/>
      <c r="P21" s="621"/>
      <c r="Q21" s="666"/>
      <c r="T21" s="680"/>
      <c r="U21" s="680"/>
      <c r="V21" s="680"/>
      <c r="X21" s="680"/>
      <c r="Y21" s="680"/>
      <c r="Z21" s="680"/>
      <c r="AA21" s="680"/>
      <c r="AB21" s="680"/>
      <c r="AC21" s="680"/>
    </row>
    <row r="22" spans="1:29">
      <c r="B22" s="679" t="s">
        <v>410</v>
      </c>
      <c r="C22" s="666" t="s">
        <v>1237</v>
      </c>
      <c r="L22" s="616"/>
      <c r="O22" s="690"/>
      <c r="P22" s="686"/>
      <c r="Q22" s="666"/>
    </row>
    <row r="23" spans="1:29">
      <c r="B23" s="679" t="s">
        <v>410</v>
      </c>
      <c r="C23" s="666" t="s">
        <v>1238</v>
      </c>
      <c r="L23" s="616"/>
      <c r="O23" s="690"/>
      <c r="P23" s="686"/>
      <c r="Q23" s="666"/>
    </row>
    <row r="24" spans="1:29">
      <c r="B24" s="679" t="s">
        <v>1239</v>
      </c>
      <c r="C24" s="666" t="s">
        <v>1240</v>
      </c>
      <c r="L24" s="616"/>
      <c r="O24" s="690"/>
      <c r="P24" s="686"/>
      <c r="Q24" s="666"/>
    </row>
    <row r="25" spans="1:29" ht="16.5" customHeight="1">
      <c r="B25" s="679" t="s">
        <v>411</v>
      </c>
      <c r="C25" s="666" t="s">
        <v>1241</v>
      </c>
      <c r="O25" s="690"/>
      <c r="P25" s="686"/>
      <c r="Q25" s="666"/>
      <c r="T25" s="269"/>
      <c r="U25" s="269"/>
      <c r="V25" s="269"/>
    </row>
    <row r="26" spans="1:29">
      <c r="B26" s="679" t="s">
        <v>130</v>
      </c>
      <c r="C26" s="679"/>
      <c r="O26" s="690"/>
      <c r="P26" s="414"/>
      <c r="Q26" s="666"/>
    </row>
    <row r="27" spans="1:29" ht="16" thickBot="1">
      <c r="O27" s="690"/>
      <c r="Q27" s="666"/>
    </row>
    <row r="28" spans="1:29" ht="17" thickBot="1">
      <c r="A28" s="698" t="s">
        <v>129</v>
      </c>
      <c r="B28" s="672"/>
      <c r="C28" s="411" t="s">
        <v>492</v>
      </c>
      <c r="D28" s="274"/>
      <c r="E28" s="274"/>
      <c r="F28" s="274"/>
      <c r="G28" s="274"/>
      <c r="H28" s="274"/>
      <c r="I28" s="274"/>
      <c r="J28" s="274"/>
      <c r="K28" s="274"/>
      <c r="L28" s="274"/>
      <c r="M28" s="678">
        <v>2</v>
      </c>
      <c r="N28" s="697" t="s">
        <v>409</v>
      </c>
      <c r="O28" s="690"/>
      <c r="Q28" s="666"/>
    </row>
    <row r="29" spans="1:29">
      <c r="B29" s="679" t="s">
        <v>410</v>
      </c>
      <c r="C29" s="666" t="s">
        <v>1242</v>
      </c>
      <c r="L29" s="616"/>
      <c r="O29" s="690"/>
      <c r="P29" s="413" t="s">
        <v>186</v>
      </c>
      <c r="Q29" s="666"/>
    </row>
    <row r="30" spans="1:29">
      <c r="B30" s="679" t="s">
        <v>410</v>
      </c>
      <c r="C30" s="666" t="s">
        <v>1243</v>
      </c>
      <c r="O30" s="690"/>
      <c r="P30" s="623" t="s">
        <v>1253</v>
      </c>
      <c r="Q30" s="666"/>
    </row>
    <row r="31" spans="1:29">
      <c r="B31" s="679" t="s">
        <v>410</v>
      </c>
      <c r="C31" s="666" t="s">
        <v>635</v>
      </c>
      <c r="O31" s="690"/>
      <c r="P31" s="623" t="s">
        <v>1254</v>
      </c>
      <c r="Q31" s="666"/>
    </row>
    <row r="32" spans="1:29">
      <c r="B32" s="679" t="s">
        <v>411</v>
      </c>
      <c r="C32" s="666" t="s">
        <v>1246</v>
      </c>
      <c r="O32" s="693"/>
      <c r="P32" s="623" t="s">
        <v>1255</v>
      </c>
      <c r="Q32" s="666"/>
    </row>
    <row r="33" spans="1:18">
      <c r="B33" s="679" t="s">
        <v>130</v>
      </c>
      <c r="C33" s="679"/>
      <c r="O33" s="690"/>
      <c r="P33" s="623" t="s">
        <v>1256</v>
      </c>
      <c r="Q33" s="666"/>
    </row>
    <row r="34" spans="1:18" ht="16" thickBot="1">
      <c r="B34" s="679"/>
      <c r="O34" s="690"/>
      <c r="P34" s="621"/>
      <c r="Q34" s="666"/>
    </row>
    <row r="35" spans="1:18" ht="17" thickBot="1">
      <c r="A35" s="698" t="s">
        <v>140</v>
      </c>
      <c r="B35" s="672"/>
      <c r="C35" s="411" t="s">
        <v>637</v>
      </c>
      <c r="D35" s="274"/>
      <c r="E35" s="274"/>
      <c r="F35" s="274"/>
      <c r="G35" s="274"/>
      <c r="H35" s="274"/>
      <c r="I35" s="274"/>
      <c r="J35" s="274"/>
      <c r="K35" s="274"/>
      <c r="L35" s="274"/>
      <c r="M35" s="678">
        <v>2</v>
      </c>
      <c r="N35" s="697" t="s">
        <v>409</v>
      </c>
      <c r="O35" s="690"/>
      <c r="P35" s="686"/>
      <c r="Q35" s="666"/>
    </row>
    <row r="36" spans="1:18" ht="16">
      <c r="A36" s="665"/>
      <c r="B36" s="671" t="s">
        <v>410</v>
      </c>
      <c r="C36" s="666" t="s">
        <v>1249</v>
      </c>
      <c r="D36" s="179"/>
      <c r="E36" s="179"/>
      <c r="F36" s="179"/>
      <c r="G36" s="179"/>
      <c r="H36" s="179"/>
      <c r="I36" s="179"/>
      <c r="J36" s="179"/>
      <c r="K36" s="179"/>
      <c r="L36" s="179"/>
      <c r="M36" s="661"/>
      <c r="N36" s="680"/>
      <c r="O36" s="690"/>
      <c r="P36" s="686"/>
      <c r="Q36" s="666"/>
    </row>
    <row r="37" spans="1:18">
      <c r="B37" s="679" t="s">
        <v>410</v>
      </c>
      <c r="C37" s="666" t="s">
        <v>638</v>
      </c>
      <c r="L37" s="616"/>
      <c r="O37" s="690"/>
      <c r="Q37" s="666"/>
    </row>
    <row r="38" spans="1:18">
      <c r="B38" s="679" t="s">
        <v>411</v>
      </c>
      <c r="C38" s="666" t="s">
        <v>639</v>
      </c>
      <c r="O38" s="690"/>
      <c r="P38" s="621"/>
      <c r="Q38" s="666"/>
    </row>
    <row r="39" spans="1:18">
      <c r="B39" s="679" t="s">
        <v>411</v>
      </c>
      <c r="C39" s="666" t="s">
        <v>640</v>
      </c>
      <c r="O39" s="690"/>
      <c r="P39" s="686"/>
      <c r="Q39" s="666"/>
    </row>
    <row r="40" spans="1:18">
      <c r="B40" s="679" t="s">
        <v>130</v>
      </c>
      <c r="C40" s="679" t="s">
        <v>641</v>
      </c>
      <c r="O40" s="690"/>
      <c r="P40" s="686"/>
      <c r="Q40" s="666"/>
    </row>
    <row r="41" spans="1:18">
      <c r="B41" s="679"/>
      <c r="L41" s="616"/>
      <c r="O41" s="690"/>
      <c r="P41" s="686"/>
      <c r="Q41" s="666"/>
    </row>
    <row r="42" spans="1:18">
      <c r="B42" s="679"/>
      <c r="O42" s="690"/>
      <c r="P42" s="686"/>
    </row>
    <row r="43" spans="1:18">
      <c r="B43" s="679"/>
      <c r="O43" s="680"/>
      <c r="P43" s="686"/>
    </row>
    <row r="44" spans="1:18">
      <c r="B44" s="679"/>
      <c r="O44" s="680"/>
      <c r="P44" s="686"/>
    </row>
    <row r="45" spans="1:18">
      <c r="B45" s="679"/>
      <c r="O45" s="680"/>
      <c r="P45" s="686"/>
      <c r="R45" s="679"/>
    </row>
    <row r="46" spans="1:18">
      <c r="B46" s="679"/>
      <c r="C46" s="679"/>
      <c r="O46" s="680"/>
    </row>
    <row r="51" spans="17:17">
      <c r="Q51" s="666"/>
    </row>
    <row r="52" spans="17:17">
      <c r="Q52" s="666"/>
    </row>
    <row r="53" spans="17:17">
      <c r="Q53" s="666"/>
    </row>
    <row r="54" spans="17:17">
      <c r="Q54" s="666"/>
    </row>
    <row r="55" spans="17:17">
      <c r="Q55" s="666"/>
    </row>
    <row r="56" spans="17:17">
      <c r="Q56" s="666"/>
    </row>
    <row r="57" spans="17:17">
      <c r="Q57" s="666"/>
    </row>
    <row r="58" spans="17:17">
      <c r="Q58" s="666"/>
    </row>
    <row r="59" spans="17:17">
      <c r="Q59" s="666"/>
    </row>
    <row r="61" spans="17:17">
      <c r="Q61" s="666"/>
    </row>
    <row r="62" spans="17:17">
      <c r="Q62" s="666"/>
    </row>
    <row r="63" spans="17:17">
      <c r="Q63" s="666"/>
    </row>
    <row r="64" spans="17:17">
      <c r="Q64" s="666"/>
    </row>
    <row r="65" spans="17:17">
      <c r="Q65" s="666"/>
    </row>
    <row r="66" spans="17:17">
      <c r="Q66" s="666"/>
    </row>
    <row r="67" spans="17:17">
      <c r="Q67" s="666"/>
    </row>
    <row r="68" spans="17:17">
      <c r="Q68" s="666"/>
    </row>
    <row r="69" spans="17:17">
      <c r="Q69" s="666"/>
    </row>
    <row r="70" spans="17:17">
      <c r="Q70" s="666"/>
    </row>
    <row r="71" spans="17:17">
      <c r="Q71" s="666"/>
    </row>
    <row r="72" spans="17:17">
      <c r="Q72" s="666"/>
    </row>
    <row r="73" spans="17:17">
      <c r="Q73" s="666"/>
    </row>
    <row r="74" spans="17:17">
      <c r="Q74" s="666"/>
    </row>
    <row r="75" spans="17:17">
      <c r="Q75" s="666"/>
    </row>
    <row r="76" spans="17:17">
      <c r="Q76" s="666"/>
    </row>
    <row r="77" spans="17:17">
      <c r="Q77" s="666"/>
    </row>
    <row r="78" spans="17:17">
      <c r="Q78" s="666"/>
    </row>
    <row r="79" spans="17:17">
      <c r="Q79" s="666"/>
    </row>
    <row r="81" spans="2:17">
      <c r="B81" s="679"/>
      <c r="Q81" s="666"/>
    </row>
  </sheetData>
  <mergeCells count="1">
    <mergeCell ref="P8:W8"/>
  </mergeCells>
  <dataValidations count="2">
    <dataValidation type="list" allowBlank="1" showInputMessage="1" showErrorMessage="1" sqref="N35:N36 N28 N21 N10" xr:uid="{00000000-0002-0000-2500-000000000000}">
      <formula1>choix</formula1>
    </dataValidation>
    <dataValidation type="list" allowBlank="1" showInputMessage="1" showErrorMessage="1" sqref="B29:B32 B37:B39 B81 B41:B45 B34 B11:B17 B22:B25" xr:uid="{00000000-0002-0000-2500-000001000000}">
      <formula1>Choix_capacité</formula1>
    </dataValidation>
  </dataValidations>
  <pageMargins left="0.7" right="0.7" top="0.75" bottom="0.75" header="0.3" footer="0.3"/>
  <legacy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39"/>
  <dimension ref="A3:AC90"/>
  <sheetViews>
    <sheetView zoomScale="90" zoomScaleNormal="90" workbookViewId="0">
      <selection activeCell="N35" sqref="N35"/>
    </sheetView>
  </sheetViews>
  <sheetFormatPr baseColWidth="10" defaultColWidth="11.5" defaultRowHeight="15"/>
  <cols>
    <col min="1" max="1" width="11.5" style="726"/>
    <col min="2" max="2" width="13.6640625" style="726" customWidth="1"/>
    <col min="3" max="3" width="15" style="726" customWidth="1"/>
    <col min="4" max="11" width="11.5" style="726"/>
    <col min="12" max="12" width="12.5" style="726" customWidth="1"/>
    <col min="13" max="14" width="13.5" style="726" bestFit="1" customWidth="1"/>
    <col min="15" max="16" width="11.5" style="726"/>
    <col min="17" max="17" width="11.5" style="727"/>
    <col min="18" max="21" width="11.5" style="726"/>
    <col min="22" max="22" width="18.33203125" style="726" customWidth="1"/>
    <col min="23" max="28" width="11.5" style="726"/>
    <col min="29" max="29" width="17.5" style="726" customWidth="1"/>
    <col min="30" max="16384" width="11.5" style="726"/>
  </cols>
  <sheetData>
    <row r="3" spans="1:29" ht="16" thickBot="1"/>
    <row r="4" spans="1:29" ht="19">
      <c r="B4" s="728" t="s">
        <v>109</v>
      </c>
      <c r="C4" s="729" t="s">
        <v>126</v>
      </c>
      <c r="D4" s="730" t="s">
        <v>52</v>
      </c>
      <c r="E4" s="731" t="s">
        <v>1257</v>
      </c>
    </row>
    <row r="5" spans="1:29">
      <c r="C5" s="732" t="s">
        <v>55</v>
      </c>
      <c r="D5" s="733">
        <v>3</v>
      </c>
    </row>
    <row r="6" spans="1:29" ht="16" thickBot="1">
      <c r="C6" s="734" t="s">
        <v>62</v>
      </c>
      <c r="D6" s="735">
        <v>60</v>
      </c>
    </row>
    <row r="7" spans="1:29" ht="16" thickBot="1">
      <c r="O7" s="736"/>
      <c r="P7" s="737"/>
      <c r="Q7" s="738"/>
      <c r="R7" s="739"/>
      <c r="S7" s="739"/>
      <c r="T7" s="739"/>
      <c r="U7" s="739"/>
    </row>
    <row r="8" spans="1:29" ht="49" thickBot="1">
      <c r="M8" s="740" t="s">
        <v>125</v>
      </c>
      <c r="N8" s="740" t="s">
        <v>1258</v>
      </c>
      <c r="O8" s="736"/>
    </row>
    <row r="9" spans="1:29" ht="16" thickBot="1">
      <c r="O9" s="736"/>
      <c r="P9" s="741"/>
      <c r="Q9" s="742"/>
      <c r="R9" s="742"/>
      <c r="S9" s="742"/>
      <c r="T9" s="742"/>
      <c r="U9" s="742"/>
      <c r="V9" s="742"/>
      <c r="W9" s="742"/>
      <c r="X9" s="742"/>
      <c r="Y9" s="742"/>
      <c r="Z9" s="742"/>
      <c r="AA9" s="742"/>
      <c r="AB9" s="742"/>
      <c r="AC9" s="742"/>
    </row>
    <row r="10" spans="1:29" ht="17" thickBot="1">
      <c r="A10" s="743" t="s">
        <v>127</v>
      </c>
      <c r="B10" s="744"/>
      <c r="C10" s="745" t="s">
        <v>497</v>
      </c>
      <c r="D10" s="746"/>
      <c r="E10" s="746"/>
      <c r="F10" s="746"/>
      <c r="G10" s="746"/>
      <c r="H10" s="746"/>
      <c r="I10" s="746"/>
      <c r="J10" s="746"/>
      <c r="K10" s="747"/>
      <c r="L10" s="748"/>
      <c r="M10" s="749">
        <v>3</v>
      </c>
      <c r="N10" s="750" t="s">
        <v>407</v>
      </c>
      <c r="O10" s="736"/>
      <c r="P10" s="742"/>
      <c r="Q10" s="741"/>
      <c r="R10" s="741"/>
      <c r="S10" s="741"/>
      <c r="T10" s="741"/>
      <c r="U10" s="741"/>
      <c r="V10" s="741"/>
    </row>
    <row r="11" spans="1:29" ht="16">
      <c r="A11" s="751" t="s">
        <v>488</v>
      </c>
      <c r="C11" s="752"/>
      <c r="D11" s="752"/>
      <c r="E11" s="752"/>
      <c r="F11" s="752"/>
      <c r="G11" s="752"/>
      <c r="H11" s="752"/>
      <c r="I11" s="752"/>
      <c r="J11" s="752"/>
      <c r="K11" s="752"/>
      <c r="L11" s="727"/>
      <c r="M11" s="753"/>
      <c r="O11" s="736"/>
      <c r="P11" s="742"/>
      <c r="Q11" s="741"/>
      <c r="R11" s="741"/>
      <c r="S11" s="741"/>
      <c r="T11" s="741"/>
      <c r="U11" s="741"/>
      <c r="V11" s="741"/>
    </row>
    <row r="12" spans="1:29">
      <c r="B12" s="731" t="s">
        <v>410</v>
      </c>
      <c r="C12" s="754" t="s">
        <v>1259</v>
      </c>
      <c r="M12" s="753"/>
      <c r="N12" s="753"/>
      <c r="O12" s="736"/>
      <c r="P12" s="755"/>
    </row>
    <row r="13" spans="1:29">
      <c r="B13" s="731" t="s">
        <v>410</v>
      </c>
      <c r="C13" s="754" t="s">
        <v>1260</v>
      </c>
      <c r="M13" s="753"/>
      <c r="N13" s="753"/>
      <c r="O13" s="736"/>
      <c r="P13" s="755"/>
    </row>
    <row r="14" spans="1:29">
      <c r="B14" s="731" t="s">
        <v>410</v>
      </c>
      <c r="C14" s="756"/>
      <c r="M14" s="753"/>
      <c r="N14" s="753"/>
      <c r="O14" s="736"/>
      <c r="P14" s="755"/>
      <c r="W14" s="755"/>
    </row>
    <row r="15" spans="1:29">
      <c r="B15" s="731" t="s">
        <v>411</v>
      </c>
      <c r="C15" s="754" t="s">
        <v>1261</v>
      </c>
      <c r="M15" s="753"/>
      <c r="N15" s="753"/>
      <c r="O15" s="736"/>
    </row>
    <row r="16" spans="1:29">
      <c r="B16" s="731" t="s">
        <v>411</v>
      </c>
      <c r="M16" s="753"/>
      <c r="N16" s="753"/>
      <c r="O16" s="736"/>
    </row>
    <row r="17" spans="1:22">
      <c r="B17" s="731" t="s">
        <v>411</v>
      </c>
      <c r="M17" s="753"/>
      <c r="N17" s="753"/>
      <c r="O17" s="736"/>
      <c r="P17" s="755"/>
    </row>
    <row r="18" spans="1:22">
      <c r="B18" s="731" t="s">
        <v>130</v>
      </c>
      <c r="M18" s="753"/>
      <c r="N18" s="753"/>
      <c r="O18" s="736"/>
      <c r="P18" s="755"/>
    </row>
    <row r="19" spans="1:22" ht="16" thickBot="1">
      <c r="M19" s="753"/>
      <c r="N19" s="753"/>
      <c r="O19" s="736"/>
      <c r="P19" s="755"/>
    </row>
    <row r="20" spans="1:22" ht="15" customHeight="1" thickBot="1">
      <c r="A20" s="743" t="s">
        <v>128</v>
      </c>
      <c r="B20" s="744"/>
      <c r="C20" s="745" t="s">
        <v>477</v>
      </c>
      <c r="D20" s="757"/>
      <c r="E20" s="757"/>
      <c r="F20" s="757"/>
      <c r="G20" s="757"/>
      <c r="H20" s="757"/>
      <c r="I20" s="757"/>
      <c r="J20" s="757"/>
      <c r="K20" s="757"/>
      <c r="L20" s="758"/>
      <c r="M20" s="749">
        <v>3</v>
      </c>
      <c r="N20" s="750" t="s">
        <v>407</v>
      </c>
      <c r="P20" s="759"/>
      <c r="Q20" s="742"/>
      <c r="R20" s="742"/>
      <c r="S20" s="742"/>
      <c r="T20" s="742"/>
      <c r="U20" s="742"/>
      <c r="V20" s="742"/>
    </row>
    <row r="21" spans="1:22">
      <c r="B21" s="731" t="s">
        <v>410</v>
      </c>
      <c r="M21" s="753"/>
      <c r="N21" s="753"/>
      <c r="P21" s="759"/>
      <c r="Q21" s="742"/>
      <c r="R21" s="742"/>
      <c r="S21" s="742"/>
      <c r="T21" s="742"/>
      <c r="U21" s="742"/>
      <c r="V21" s="742"/>
    </row>
    <row r="22" spans="1:22">
      <c r="B22" s="731" t="s">
        <v>410</v>
      </c>
      <c r="M22" s="753"/>
      <c r="N22" s="753"/>
      <c r="P22" s="760"/>
      <c r="Q22" s="761"/>
    </row>
    <row r="23" spans="1:22">
      <c r="B23" s="731" t="s">
        <v>410</v>
      </c>
      <c r="M23" s="753"/>
      <c r="N23" s="753"/>
      <c r="P23" s="762"/>
      <c r="Q23" s="726"/>
    </row>
    <row r="24" spans="1:22">
      <c r="B24" s="731" t="s">
        <v>411</v>
      </c>
      <c r="C24" s="726" t="s">
        <v>1262</v>
      </c>
      <c r="M24" s="753"/>
      <c r="N24" s="753"/>
      <c r="P24" s="731" t="s">
        <v>186</v>
      </c>
      <c r="Q24" s="726"/>
    </row>
    <row r="25" spans="1:22">
      <c r="B25" s="731" t="s">
        <v>411</v>
      </c>
      <c r="C25" s="726" t="s">
        <v>1263</v>
      </c>
      <c r="P25" s="763" t="s">
        <v>1264</v>
      </c>
      <c r="Q25" s="726"/>
      <c r="T25" s="764"/>
      <c r="U25" s="764"/>
      <c r="V25" s="764"/>
    </row>
    <row r="26" spans="1:22">
      <c r="B26" s="731" t="s">
        <v>411</v>
      </c>
      <c r="P26" s="726" t="s">
        <v>1265</v>
      </c>
      <c r="Q26" s="726"/>
    </row>
    <row r="27" spans="1:22">
      <c r="B27" s="731" t="s">
        <v>130</v>
      </c>
      <c r="P27" s="762" t="s">
        <v>1266</v>
      </c>
      <c r="Q27" s="726"/>
    </row>
    <row r="28" spans="1:22" ht="16" thickBot="1">
      <c r="P28" s="765" t="s">
        <v>1267</v>
      </c>
      <c r="Q28" s="726"/>
    </row>
    <row r="29" spans="1:22" ht="16.5" customHeight="1" thickBot="1">
      <c r="A29" s="743" t="s">
        <v>129</v>
      </c>
      <c r="B29" s="744"/>
      <c r="C29" s="766" t="s">
        <v>124</v>
      </c>
      <c r="D29" s="767"/>
      <c r="E29" s="767"/>
      <c r="F29" s="767"/>
      <c r="G29" s="767"/>
      <c r="H29" s="767"/>
      <c r="I29" s="767"/>
      <c r="J29" s="767"/>
      <c r="K29" s="767"/>
      <c r="L29" s="767"/>
      <c r="M29" s="749">
        <v>3</v>
      </c>
      <c r="N29" s="750" t="s">
        <v>407</v>
      </c>
      <c r="P29" s="765" t="s">
        <v>1268</v>
      </c>
      <c r="Q29" s="726"/>
    </row>
    <row r="30" spans="1:22">
      <c r="B30" s="731" t="s">
        <v>410</v>
      </c>
      <c r="L30" s="768"/>
      <c r="Q30" s="726"/>
    </row>
    <row r="31" spans="1:22">
      <c r="B31" s="731" t="s">
        <v>410</v>
      </c>
      <c r="O31" s="769"/>
      <c r="Q31" s="726"/>
    </row>
    <row r="32" spans="1:22">
      <c r="B32" s="731" t="s">
        <v>410</v>
      </c>
      <c r="C32" s="726" t="s">
        <v>1269</v>
      </c>
      <c r="O32" s="770"/>
      <c r="Q32" s="726"/>
    </row>
    <row r="33" spans="1:17">
      <c r="B33" s="731" t="s">
        <v>411</v>
      </c>
      <c r="O33" s="769"/>
      <c r="Q33" s="726"/>
    </row>
    <row r="34" spans="1:17">
      <c r="B34" s="731" t="s">
        <v>411</v>
      </c>
      <c r="O34" s="769"/>
      <c r="Q34" s="726"/>
    </row>
    <row r="35" spans="1:17">
      <c r="B35" s="731" t="s">
        <v>411</v>
      </c>
      <c r="O35" s="769"/>
      <c r="P35" s="731"/>
      <c r="Q35" s="726"/>
    </row>
    <row r="36" spans="1:17">
      <c r="B36" s="731" t="s">
        <v>130</v>
      </c>
      <c r="O36" s="769"/>
      <c r="P36" s="731"/>
      <c r="Q36" s="726"/>
    </row>
    <row r="37" spans="1:17" ht="16" thickBot="1">
      <c r="O37" s="769"/>
      <c r="P37" s="771"/>
      <c r="Q37" s="726"/>
    </row>
    <row r="38" spans="1:17" ht="17" thickBot="1">
      <c r="A38" s="743" t="s">
        <v>140</v>
      </c>
      <c r="B38" s="744"/>
      <c r="C38" s="766" t="s">
        <v>64</v>
      </c>
      <c r="D38" s="767"/>
      <c r="E38" s="767"/>
      <c r="F38" s="767"/>
      <c r="G38" s="767"/>
      <c r="H38" s="767"/>
      <c r="I38" s="767"/>
      <c r="J38" s="767"/>
      <c r="K38" s="767"/>
      <c r="L38" s="767"/>
      <c r="M38" s="749">
        <v>3</v>
      </c>
      <c r="N38" s="750" t="s">
        <v>407</v>
      </c>
      <c r="O38" s="769"/>
      <c r="P38" s="771"/>
      <c r="Q38" s="726"/>
    </row>
    <row r="39" spans="1:17">
      <c r="B39" s="731" t="s">
        <v>410</v>
      </c>
      <c r="L39" s="768"/>
      <c r="O39" s="769"/>
      <c r="P39" s="771"/>
      <c r="Q39" s="726"/>
    </row>
    <row r="40" spans="1:17">
      <c r="B40" s="731" t="s">
        <v>410</v>
      </c>
      <c r="O40" s="769"/>
      <c r="P40" s="771"/>
      <c r="Q40" s="726"/>
    </row>
    <row r="41" spans="1:17">
      <c r="B41" s="731" t="s">
        <v>410</v>
      </c>
      <c r="O41" s="769"/>
      <c r="P41" s="771"/>
      <c r="Q41" s="726"/>
    </row>
    <row r="42" spans="1:17">
      <c r="B42" s="731" t="s">
        <v>411</v>
      </c>
      <c r="C42" s="726" t="s">
        <v>1270</v>
      </c>
      <c r="O42" s="769"/>
      <c r="P42" s="731"/>
    </row>
    <row r="43" spans="1:17">
      <c r="B43" s="731" t="s">
        <v>411</v>
      </c>
      <c r="O43" s="769"/>
      <c r="P43" s="771"/>
    </row>
    <row r="44" spans="1:17">
      <c r="B44" s="731" t="s">
        <v>411</v>
      </c>
      <c r="O44" s="769"/>
      <c r="P44" s="771"/>
    </row>
    <row r="45" spans="1:17">
      <c r="B45" s="731" t="s">
        <v>130</v>
      </c>
    </row>
    <row r="46" spans="1:17" ht="16" thickBot="1"/>
    <row r="47" spans="1:17" ht="17" thickBot="1">
      <c r="A47" s="743" t="s">
        <v>141</v>
      </c>
      <c r="B47" s="744"/>
      <c r="C47" s="766" t="s">
        <v>498</v>
      </c>
      <c r="D47" s="767"/>
      <c r="E47" s="767"/>
      <c r="F47" s="767"/>
      <c r="G47" s="767"/>
      <c r="H47" s="767"/>
      <c r="I47" s="767"/>
      <c r="J47" s="767"/>
      <c r="K47" s="767"/>
      <c r="L47" s="767"/>
      <c r="M47" s="749">
        <v>3</v>
      </c>
      <c r="N47" s="750" t="s">
        <v>407</v>
      </c>
      <c r="O47" s="769"/>
      <c r="P47" s="771"/>
      <c r="Q47" s="726"/>
    </row>
    <row r="48" spans="1:17">
      <c r="B48" s="731" t="s">
        <v>410</v>
      </c>
      <c r="C48" s="726" t="s">
        <v>1271</v>
      </c>
      <c r="L48" s="768"/>
      <c r="O48" s="769"/>
      <c r="P48" s="771"/>
      <c r="Q48" s="726"/>
    </row>
    <row r="49" spans="1:17">
      <c r="B49" s="731" t="s">
        <v>410</v>
      </c>
      <c r="C49" s="726" t="s">
        <v>1272</v>
      </c>
      <c r="O49" s="769"/>
      <c r="P49" s="771"/>
      <c r="Q49" s="726"/>
    </row>
    <row r="50" spans="1:17">
      <c r="B50" s="731" t="s">
        <v>410</v>
      </c>
      <c r="O50" s="769"/>
      <c r="P50" s="771"/>
      <c r="Q50" s="726"/>
    </row>
    <row r="51" spans="1:17">
      <c r="B51" s="731" t="s">
        <v>411</v>
      </c>
      <c r="C51" s="726" t="s">
        <v>1273</v>
      </c>
      <c r="O51" s="769"/>
      <c r="P51" s="731"/>
    </row>
    <row r="52" spans="1:17">
      <c r="B52" s="731" t="s">
        <v>411</v>
      </c>
      <c r="O52" s="769"/>
      <c r="P52" s="771"/>
    </row>
    <row r="53" spans="1:17">
      <c r="B53" s="731" t="s">
        <v>411</v>
      </c>
      <c r="O53" s="769"/>
      <c r="P53" s="771"/>
    </row>
    <row r="54" spans="1:17">
      <c r="B54" s="731" t="s">
        <v>130</v>
      </c>
    </row>
    <row r="56" spans="1:17" ht="16">
      <c r="A56" s="751"/>
      <c r="C56" s="772"/>
      <c r="D56" s="772"/>
      <c r="E56" s="772"/>
      <c r="F56" s="772"/>
      <c r="G56" s="772"/>
      <c r="H56" s="772"/>
      <c r="I56" s="772"/>
      <c r="J56" s="772"/>
      <c r="K56" s="772"/>
      <c r="L56" s="772"/>
      <c r="M56" s="753"/>
      <c r="O56" s="769"/>
      <c r="P56" s="771"/>
      <c r="Q56" s="726"/>
    </row>
    <row r="57" spans="1:17">
      <c r="B57" s="731"/>
      <c r="L57" s="768"/>
      <c r="O57" s="769"/>
      <c r="P57" s="771"/>
      <c r="Q57" s="726"/>
    </row>
    <row r="58" spans="1:17">
      <c r="B58" s="731"/>
      <c r="O58" s="769"/>
      <c r="P58" s="771"/>
      <c r="Q58" s="726"/>
    </row>
    <row r="59" spans="1:17">
      <c r="B59" s="731"/>
      <c r="O59" s="769"/>
      <c r="P59" s="771"/>
      <c r="Q59" s="726"/>
    </row>
    <row r="60" spans="1:17">
      <c r="B60" s="731"/>
      <c r="O60" s="769"/>
      <c r="P60" s="731"/>
    </row>
    <row r="61" spans="1:17">
      <c r="B61" s="731"/>
      <c r="O61" s="769"/>
      <c r="P61" s="771"/>
    </row>
    <row r="62" spans="1:17">
      <c r="B62" s="731"/>
      <c r="O62" s="769"/>
      <c r="P62" s="771"/>
    </row>
    <row r="63" spans="1:17">
      <c r="B63" s="731"/>
    </row>
    <row r="65" spans="1:17" ht="16">
      <c r="A65" s="751"/>
      <c r="C65" s="772"/>
      <c r="D65" s="772"/>
      <c r="E65" s="772"/>
      <c r="F65" s="772"/>
      <c r="G65" s="772"/>
      <c r="H65" s="772"/>
      <c r="I65" s="772"/>
      <c r="J65" s="772"/>
      <c r="K65" s="772"/>
      <c r="L65" s="772"/>
      <c r="M65" s="753"/>
      <c r="O65" s="769"/>
      <c r="P65" s="771"/>
      <c r="Q65" s="726"/>
    </row>
    <row r="66" spans="1:17">
      <c r="B66" s="731"/>
      <c r="L66" s="768"/>
      <c r="O66" s="769"/>
      <c r="P66" s="771"/>
      <c r="Q66" s="726"/>
    </row>
    <row r="67" spans="1:17">
      <c r="B67" s="731"/>
      <c r="O67" s="769"/>
      <c r="P67" s="771"/>
      <c r="Q67" s="726"/>
    </row>
    <row r="68" spans="1:17">
      <c r="O68" s="769"/>
      <c r="P68" s="771"/>
      <c r="Q68" s="726"/>
    </row>
    <row r="69" spans="1:17">
      <c r="O69" s="769"/>
      <c r="P69" s="731"/>
    </row>
    <row r="70" spans="1:17">
      <c r="O70" s="769"/>
      <c r="P70" s="771"/>
    </row>
    <row r="71" spans="1:17">
      <c r="O71" s="769"/>
      <c r="P71" s="771"/>
    </row>
    <row r="74" spans="1:17">
      <c r="O74" s="769"/>
      <c r="P74" s="771"/>
      <c r="Q74" s="726"/>
    </row>
    <row r="75" spans="1:17">
      <c r="O75" s="769"/>
      <c r="P75" s="771"/>
      <c r="Q75" s="726"/>
    </row>
    <row r="76" spans="1:17">
      <c r="O76" s="769"/>
      <c r="P76" s="771"/>
      <c r="Q76" s="726"/>
    </row>
    <row r="77" spans="1:17">
      <c r="B77" s="731"/>
      <c r="O77" s="769"/>
      <c r="P77" s="771"/>
      <c r="Q77" s="726"/>
    </row>
    <row r="78" spans="1:17">
      <c r="B78" s="731"/>
      <c r="O78" s="769"/>
      <c r="P78" s="731"/>
    </row>
    <row r="79" spans="1:17">
      <c r="B79" s="731"/>
      <c r="O79" s="769"/>
      <c r="P79" s="771"/>
    </row>
    <row r="80" spans="1:17">
      <c r="B80" s="731"/>
      <c r="O80" s="769"/>
      <c r="P80" s="771"/>
    </row>
    <row r="81" spans="1:17">
      <c r="B81" s="731"/>
    </row>
    <row r="83" spans="1:17" ht="16">
      <c r="A83" s="751"/>
      <c r="C83" s="772"/>
      <c r="D83" s="772"/>
      <c r="E83" s="772"/>
      <c r="F83" s="772"/>
      <c r="G83" s="772"/>
      <c r="H83" s="772"/>
      <c r="I83" s="772"/>
      <c r="J83" s="772"/>
      <c r="K83" s="772"/>
      <c r="L83" s="772"/>
      <c r="M83" s="753"/>
      <c r="O83" s="769"/>
      <c r="P83" s="771"/>
      <c r="Q83" s="726"/>
    </row>
    <row r="84" spans="1:17">
      <c r="B84" s="731"/>
      <c r="L84" s="768"/>
      <c r="O84" s="769"/>
      <c r="P84" s="771"/>
      <c r="Q84" s="726"/>
    </row>
    <row r="85" spans="1:17">
      <c r="B85" s="731"/>
      <c r="O85" s="769"/>
      <c r="P85" s="771"/>
      <c r="Q85" s="726"/>
    </row>
    <row r="86" spans="1:17">
      <c r="B86" s="731"/>
      <c r="O86" s="769"/>
      <c r="P86" s="771"/>
      <c r="Q86" s="726"/>
    </row>
    <row r="87" spans="1:17">
      <c r="B87" s="731"/>
      <c r="O87" s="769"/>
      <c r="P87" s="731"/>
    </row>
    <row r="88" spans="1:17">
      <c r="B88" s="731"/>
      <c r="O88" s="769"/>
      <c r="P88" s="771"/>
    </row>
    <row r="89" spans="1:17">
      <c r="B89" s="731"/>
      <c r="O89" s="769"/>
      <c r="P89" s="771"/>
    </row>
    <row r="90" spans="1:17">
      <c r="B90" s="731"/>
    </row>
  </sheetData>
  <dataValidations count="2">
    <dataValidation type="list" allowBlank="1" showInputMessage="1" showErrorMessage="1" sqref="B30:B35 B21:B26 B84:B89 B12:B17 B39:B44 B48:B53 B57:B62 B66:B67 B77:B80" xr:uid="{00000000-0002-0000-2600-000000000000}">
      <formula1>Choix_capacité</formula1>
    </dataValidation>
    <dataValidation type="list" allowBlank="1" showInputMessage="1" showErrorMessage="1" sqref="N10:N11 N83 N20 N29 N38 N47 N56 N65" xr:uid="{00000000-0002-0000-2600-000001000000}">
      <formula1>choix</formula1>
    </dataValidation>
  </dataValidations>
  <pageMargins left="0.7" right="0.7" top="0.75" bottom="0.75" header="0.3" footer="0.3"/>
  <legacy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0"/>
  <dimension ref="A1:AC42"/>
  <sheetViews>
    <sheetView zoomScale="138" zoomScaleNormal="80" workbookViewId="0">
      <selection activeCell="P12" sqref="P12"/>
    </sheetView>
  </sheetViews>
  <sheetFormatPr baseColWidth="10" defaultColWidth="11.5" defaultRowHeight="15"/>
  <cols>
    <col min="1" max="16" width="11.5" style="666"/>
    <col min="17" max="17" width="18.6640625" style="666" customWidth="1"/>
    <col min="18" max="16384" width="11.5" style="666"/>
  </cols>
  <sheetData>
    <row r="1" spans="1:29" ht="19">
      <c r="B1" s="327" t="s">
        <v>101</v>
      </c>
      <c r="C1" s="228" t="s">
        <v>126</v>
      </c>
      <c r="D1" s="229" t="s">
        <v>39</v>
      </c>
      <c r="E1" s="679" t="s">
        <v>1274</v>
      </c>
    </row>
    <row r="2" spans="1:29">
      <c r="C2" s="230" t="s">
        <v>55</v>
      </c>
      <c r="D2" s="231">
        <v>3</v>
      </c>
    </row>
    <row r="3" spans="1:29" ht="16" thickBot="1">
      <c r="C3" s="232" t="s">
        <v>62</v>
      </c>
      <c r="D3" s="518">
        <v>268</v>
      </c>
    </row>
    <row r="4" spans="1:29" ht="49" thickBot="1">
      <c r="M4" s="320" t="s">
        <v>125</v>
      </c>
      <c r="N4" s="320" t="s">
        <v>408</v>
      </c>
    </row>
    <row r="5" spans="1:29" ht="19">
      <c r="A5" s="415" t="s">
        <v>67</v>
      </c>
      <c r="P5" s="327" t="s">
        <v>101</v>
      </c>
      <c r="Q5" s="228" t="s">
        <v>126</v>
      </c>
      <c r="R5" s="229" t="s">
        <v>39</v>
      </c>
      <c r="S5" s="984" t="s">
        <v>1274</v>
      </c>
      <c r="T5" s="983"/>
      <c r="U5" s="983"/>
    </row>
    <row r="6" spans="1:29" ht="16" thickBot="1">
      <c r="M6" s="670"/>
      <c r="N6" s="670"/>
      <c r="P6" s="983"/>
      <c r="Q6" s="230" t="s">
        <v>55</v>
      </c>
      <c r="R6" s="231">
        <v>3</v>
      </c>
      <c r="S6" s="983"/>
      <c r="T6" s="983"/>
      <c r="U6" s="983"/>
    </row>
    <row r="7" spans="1:29" ht="17" thickBot="1">
      <c r="A7" s="698" t="s">
        <v>127</v>
      </c>
      <c r="B7" s="672"/>
      <c r="C7" s="1038" t="s">
        <v>1275</v>
      </c>
      <c r="D7" s="1039"/>
      <c r="E7" s="1039"/>
      <c r="F7" s="1039"/>
      <c r="G7" s="1039"/>
      <c r="H7" s="1039"/>
      <c r="I7" s="1039"/>
      <c r="J7" s="1039"/>
      <c r="K7" s="1039"/>
      <c r="L7" s="1039"/>
      <c r="M7" s="678">
        <v>3</v>
      </c>
      <c r="N7" s="697" t="s">
        <v>407</v>
      </c>
      <c r="P7" s="983"/>
      <c r="Q7" s="232" t="s">
        <v>62</v>
      </c>
      <c r="R7" s="986">
        <v>268</v>
      </c>
      <c r="S7" s="983"/>
      <c r="T7" s="983"/>
      <c r="U7" s="983"/>
    </row>
    <row r="8" spans="1:29" ht="16">
      <c r="A8" s="503" t="s">
        <v>488</v>
      </c>
      <c r="B8" s="396"/>
      <c r="C8" s="500" t="s">
        <v>1276</v>
      </c>
      <c r="M8" s="670"/>
      <c r="N8" s="670"/>
    </row>
    <row r="9" spans="1:29" ht="16">
      <c r="B9" s="679" t="s">
        <v>410</v>
      </c>
      <c r="C9" s="666" t="s">
        <v>1277</v>
      </c>
      <c r="M9" s="670"/>
      <c r="N9" s="670"/>
      <c r="P9" s="1041" t="s">
        <v>567</v>
      </c>
      <c r="Q9" s="1042"/>
      <c r="R9" s="1042"/>
      <c r="S9" s="1042"/>
      <c r="T9" s="1042"/>
      <c r="U9" s="1042"/>
      <c r="V9" s="1042"/>
      <c r="W9" s="1042"/>
      <c r="X9" s="266"/>
      <c r="Y9" s="266"/>
      <c r="Z9" s="266"/>
      <c r="AA9" s="266"/>
      <c r="AB9" s="266"/>
      <c r="AC9" s="266"/>
    </row>
    <row r="10" spans="1:29">
      <c r="B10" s="679" t="s">
        <v>410</v>
      </c>
      <c r="C10" s="666" t="s">
        <v>1278</v>
      </c>
      <c r="M10" s="670"/>
      <c r="N10" s="670"/>
      <c r="P10" s="680"/>
      <c r="Q10" s="683"/>
      <c r="R10" s="683"/>
      <c r="S10" s="683"/>
      <c r="T10" s="683"/>
      <c r="U10" s="683"/>
      <c r="V10" s="683"/>
      <c r="X10" s="667"/>
      <c r="Y10" s="667"/>
      <c r="Z10" s="667"/>
      <c r="AA10" s="667"/>
      <c r="AB10" s="667"/>
      <c r="AC10" s="667"/>
    </row>
    <row r="11" spans="1:29">
      <c r="B11" s="679" t="s">
        <v>410</v>
      </c>
      <c r="C11" s="666" t="s">
        <v>1279</v>
      </c>
      <c r="M11" s="670"/>
      <c r="N11" s="670"/>
      <c r="P11" s="413" t="s">
        <v>176</v>
      </c>
      <c r="Q11" s="684"/>
      <c r="R11" s="680"/>
      <c r="S11" s="680"/>
      <c r="T11" s="680"/>
      <c r="U11" s="680"/>
      <c r="V11" s="680"/>
      <c r="X11" s="667"/>
      <c r="Y11" s="667"/>
      <c r="Z11" s="667"/>
      <c r="AA11" s="667"/>
      <c r="AB11" s="667"/>
      <c r="AC11" s="667"/>
    </row>
    <row r="12" spans="1:29">
      <c r="B12" s="679" t="s">
        <v>411</v>
      </c>
      <c r="C12" s="666" t="s">
        <v>1280</v>
      </c>
      <c r="P12" s="671" t="s">
        <v>1281</v>
      </c>
      <c r="Q12" s="684"/>
      <c r="R12" s="680"/>
      <c r="S12" s="680"/>
      <c r="T12" s="680"/>
      <c r="U12" s="680"/>
      <c r="V12" s="680"/>
      <c r="X12" s="667"/>
      <c r="Y12" s="667"/>
      <c r="Z12" s="667"/>
      <c r="AA12" s="667"/>
      <c r="AB12" s="667"/>
      <c r="AC12" s="667"/>
    </row>
    <row r="13" spans="1:29">
      <c r="B13" s="679" t="s">
        <v>411</v>
      </c>
      <c r="C13" s="666" t="s">
        <v>1282</v>
      </c>
      <c r="P13" s="686" t="str">
        <f>"CAPACITES : "&amp;C13&amp;", "&amp;C14&amp;", "&amp;C15</f>
        <v>CAPACITES : Simulation de fonction électronique et/ou électrique, Analyse de solution technique, simulation, modélisation, schéma bloc</v>
      </c>
      <c r="Q13" s="684"/>
      <c r="R13" s="680"/>
      <c r="S13" s="680"/>
      <c r="T13" s="680"/>
      <c r="U13" s="680"/>
      <c r="V13" s="680"/>
      <c r="W13" s="268"/>
      <c r="X13" s="667"/>
      <c r="Y13" s="667"/>
      <c r="Z13" s="667"/>
      <c r="AA13" s="667"/>
      <c r="AB13" s="667"/>
      <c r="AC13" s="667"/>
    </row>
    <row r="14" spans="1:29">
      <c r="B14" s="679" t="s">
        <v>411</v>
      </c>
      <c r="C14" s="666" t="s">
        <v>1283</v>
      </c>
      <c r="P14" s="686" t="str">
        <f>"CONNAISSANCES : "&amp;C16&amp;", "&amp;C17&amp;", "&amp;C18</f>
        <v>CONNAISSANCES : , , Réaliser et mettre en œuvre un projet technique couvrant plusieurs domaines du Génie Electrique</v>
      </c>
      <c r="Q14" s="684"/>
      <c r="R14" s="680"/>
      <c r="S14" s="680"/>
      <c r="T14" s="680"/>
      <c r="U14" s="680"/>
      <c r="V14" s="680"/>
      <c r="X14" s="667"/>
      <c r="Y14" s="667"/>
      <c r="Z14" s="667"/>
      <c r="AA14" s="667"/>
      <c r="AB14" s="667"/>
      <c r="AC14" s="667"/>
    </row>
    <row r="15" spans="1:29">
      <c r="B15" s="679" t="s">
        <v>130</v>
      </c>
      <c r="C15" s="679" t="s">
        <v>1284</v>
      </c>
      <c r="P15" s="414" t="str">
        <f>"MOTS-CLES : "&amp;C19</f>
        <v>MOTS-CLES : Réalisation d'un système électrique</v>
      </c>
      <c r="Q15" s="684"/>
      <c r="R15" s="680"/>
      <c r="S15" s="680"/>
      <c r="T15" s="680"/>
      <c r="U15" s="680"/>
      <c r="V15" s="680"/>
      <c r="X15" s="667"/>
      <c r="Y15" s="667"/>
      <c r="Z15" s="667"/>
      <c r="AA15" s="667"/>
      <c r="AB15" s="667"/>
      <c r="AC15" s="667"/>
    </row>
    <row r="16" spans="1:29">
      <c r="Q16" s="684"/>
      <c r="R16" s="680"/>
      <c r="S16" s="680"/>
      <c r="T16" s="680"/>
      <c r="U16" s="680"/>
      <c r="V16" s="680"/>
      <c r="X16" s="667"/>
      <c r="Y16" s="667"/>
      <c r="Z16" s="667"/>
      <c r="AA16" s="667"/>
      <c r="AB16" s="667"/>
      <c r="AC16" s="667"/>
    </row>
    <row r="17" spans="1:29" ht="16" thickBot="1">
      <c r="P17" s="621" t="s">
        <v>1285</v>
      </c>
      <c r="Q17" s="684"/>
      <c r="R17" s="680"/>
      <c r="S17" s="680"/>
      <c r="T17" s="680"/>
      <c r="U17" s="680"/>
      <c r="V17" s="680"/>
      <c r="X17" s="667"/>
      <c r="Y17" s="667"/>
      <c r="Z17" s="667"/>
      <c r="AA17" s="667"/>
      <c r="AB17" s="667"/>
      <c r="AC17" s="667"/>
    </row>
    <row r="18" spans="1:29" ht="17" thickBot="1">
      <c r="A18" s="325" t="s">
        <v>128</v>
      </c>
      <c r="B18" s="672"/>
      <c r="C18" s="1045" t="s">
        <v>1286</v>
      </c>
      <c r="D18" s="1087"/>
      <c r="E18" s="1087"/>
      <c r="F18" s="1087"/>
      <c r="G18" s="1087"/>
      <c r="H18" s="1087"/>
      <c r="I18" s="1087"/>
      <c r="J18" s="1087"/>
      <c r="K18" s="1087"/>
      <c r="L18" s="1088"/>
      <c r="M18" s="678">
        <v>3</v>
      </c>
      <c r="N18" s="697" t="s">
        <v>407</v>
      </c>
      <c r="P18" s="686" t="s">
        <v>1287</v>
      </c>
      <c r="Q18" s="684"/>
      <c r="R18" s="680"/>
      <c r="S18" s="680"/>
      <c r="T18" s="680"/>
      <c r="U18" s="680"/>
      <c r="V18" s="680"/>
      <c r="X18" s="667"/>
      <c r="Y18" s="667"/>
      <c r="Z18" s="667"/>
      <c r="AA18" s="667"/>
      <c r="AB18" s="667"/>
      <c r="AC18" s="667"/>
    </row>
    <row r="19" spans="1:29" ht="16">
      <c r="A19" s="503" t="s">
        <v>488</v>
      </c>
      <c r="B19" s="396"/>
      <c r="C19" s="500" t="s">
        <v>1288</v>
      </c>
      <c r="D19" s="386"/>
      <c r="M19" s="670"/>
      <c r="N19" s="670"/>
      <c r="P19" s="686" t="s">
        <v>1289</v>
      </c>
      <c r="Q19" s="685"/>
      <c r="R19" s="266"/>
      <c r="S19" s="266"/>
      <c r="T19" s="266"/>
      <c r="U19" s="266"/>
      <c r="V19" s="266"/>
      <c r="X19" s="680"/>
      <c r="Y19" s="680"/>
      <c r="Z19" s="680"/>
      <c r="AA19" s="680"/>
      <c r="AB19" s="680"/>
      <c r="AC19" s="680"/>
    </row>
    <row r="20" spans="1:29">
      <c r="B20" s="679" t="s">
        <v>410</v>
      </c>
      <c r="C20" s="666" t="s">
        <v>1290</v>
      </c>
      <c r="M20" s="670"/>
      <c r="N20" s="670"/>
      <c r="P20" s="414" t="str">
        <f>"MOTS-CLES : "&amp;C29</f>
        <v xml:space="preserve">MOTS-CLES : </v>
      </c>
      <c r="Q20" s="685"/>
      <c r="R20" s="266" t="s">
        <v>1291</v>
      </c>
      <c r="S20" s="266"/>
      <c r="T20" s="266"/>
      <c r="U20" s="266"/>
      <c r="V20" s="266"/>
      <c r="X20" s="680"/>
      <c r="Y20" s="680"/>
      <c r="Z20" s="680"/>
      <c r="AA20" s="680"/>
      <c r="AB20" s="680"/>
      <c r="AC20" s="680"/>
    </row>
    <row r="21" spans="1:29">
      <c r="B21" s="679" t="s">
        <v>410</v>
      </c>
      <c r="C21" s="666" t="s">
        <v>1292</v>
      </c>
      <c r="M21" s="670"/>
      <c r="N21" s="670"/>
      <c r="Q21" s="699"/>
      <c r="T21" s="680"/>
      <c r="U21" s="680"/>
      <c r="V21" s="680"/>
      <c r="X21" s="680"/>
      <c r="Y21" s="680"/>
      <c r="Z21" s="680"/>
      <c r="AA21" s="680"/>
      <c r="AB21" s="680"/>
      <c r="AC21" s="680"/>
    </row>
    <row r="22" spans="1:29">
      <c r="B22" s="679" t="s">
        <v>410</v>
      </c>
      <c r="C22" s="666" t="s">
        <v>1293</v>
      </c>
      <c r="M22" s="670"/>
      <c r="N22" s="670"/>
      <c r="P22" s="621" t="s">
        <v>1294</v>
      </c>
      <c r="T22" s="680"/>
      <c r="U22" s="680"/>
      <c r="V22" s="680"/>
      <c r="X22" s="680"/>
      <c r="Y22" s="680"/>
      <c r="Z22" s="680"/>
      <c r="AA22" s="680"/>
      <c r="AB22" s="680"/>
      <c r="AC22" s="680"/>
    </row>
    <row r="23" spans="1:29">
      <c r="B23" s="679" t="s">
        <v>411</v>
      </c>
      <c r="C23" s="666" t="s">
        <v>1295</v>
      </c>
      <c r="P23" s="686" t="str">
        <f>"CAPACITES : "&amp;C33&amp;", "&amp;C34&amp;", "&amp;C35</f>
        <v>CAPACITES : Exposer efficacement un travail à l'écrit et à l'oral ; s'adapter à l'auditoire, Répartition des tâches et coordination, Contexte industriel et académique en termes de réalisation de projet technique dans le domaine du génie électrique</v>
      </c>
    </row>
    <row r="24" spans="1:29">
      <c r="B24" s="679" t="s">
        <v>411</v>
      </c>
      <c r="C24" s="666" t="s">
        <v>1296</v>
      </c>
      <c r="P24" s="686" t="str">
        <f>"CONNAISSANCES : "&amp;C36&amp;", "&amp;C37&amp;", "&amp;C38</f>
        <v xml:space="preserve">CONNAISSANCES : Travail en équipe, gestion de projet, rendu de projet, , </v>
      </c>
      <c r="T24" s="269"/>
      <c r="U24" s="269"/>
      <c r="V24" s="269"/>
    </row>
    <row r="25" spans="1:29">
      <c r="B25" s="679" t="s">
        <v>130</v>
      </c>
      <c r="C25" s="679" t="s">
        <v>1297</v>
      </c>
      <c r="P25" s="414" t="str">
        <f>"MOTS-CLES : "&amp;C39</f>
        <v>MOTS-CLES : Etude d'un projet sous forme d'analyse fonctionnelle</v>
      </c>
    </row>
    <row r="28" spans="1:29">
      <c r="A28" s="415" t="s">
        <v>489</v>
      </c>
      <c r="P28" s="413" t="s">
        <v>186</v>
      </c>
    </row>
    <row r="29" spans="1:29" ht="17" thickBot="1">
      <c r="P29" s="773" t="s">
        <v>1298</v>
      </c>
      <c r="Q29" s="774"/>
    </row>
    <row r="30" spans="1:29" ht="17" thickBot="1">
      <c r="A30" s="698" t="s">
        <v>127</v>
      </c>
      <c r="B30" s="672"/>
      <c r="C30" s="411" t="s">
        <v>1299</v>
      </c>
      <c r="D30" s="274"/>
      <c r="E30" s="274"/>
      <c r="F30" s="274"/>
      <c r="G30" s="274"/>
      <c r="H30" s="274"/>
      <c r="I30" s="274"/>
      <c r="J30" s="274"/>
      <c r="K30" s="274"/>
      <c r="L30" s="274"/>
      <c r="M30" s="678">
        <v>2</v>
      </c>
      <c r="N30" s="697" t="s">
        <v>407</v>
      </c>
      <c r="P30" s="773" t="s">
        <v>1300</v>
      </c>
      <c r="Q30" s="774"/>
    </row>
    <row r="31" spans="1:29" ht="16">
      <c r="A31" s="503" t="s">
        <v>488</v>
      </c>
      <c r="B31" s="396"/>
      <c r="C31" s="412" t="s">
        <v>1301</v>
      </c>
      <c r="D31" s="179"/>
      <c r="E31" s="179"/>
      <c r="F31" s="179"/>
      <c r="G31" s="179"/>
      <c r="H31" s="179"/>
      <c r="I31" s="179"/>
      <c r="J31" s="179"/>
      <c r="K31" s="179"/>
      <c r="L31" s="179"/>
      <c r="M31" s="661"/>
      <c r="N31" s="680"/>
      <c r="P31" s="773" t="s">
        <v>1302</v>
      </c>
      <c r="Q31" s="774"/>
    </row>
    <row r="32" spans="1:29" ht="16">
      <c r="B32" s="679" t="s">
        <v>410</v>
      </c>
      <c r="C32" s="666" t="s">
        <v>630</v>
      </c>
      <c r="L32" s="616"/>
      <c r="P32" s="773" t="s">
        <v>1303</v>
      </c>
      <c r="Q32" s="774"/>
    </row>
    <row r="33" spans="1:17" ht="16">
      <c r="B33" s="679" t="s">
        <v>410</v>
      </c>
      <c r="C33" s="666" t="s">
        <v>635</v>
      </c>
      <c r="P33" s="773" t="s">
        <v>1304</v>
      </c>
      <c r="Q33" s="774"/>
    </row>
    <row r="34" spans="1:17" ht="16">
      <c r="B34" s="679" t="s">
        <v>410</v>
      </c>
      <c r="C34" s="666" t="s">
        <v>633</v>
      </c>
      <c r="P34" s="773" t="s">
        <v>1305</v>
      </c>
      <c r="Q34" s="774"/>
    </row>
    <row r="35" spans="1:17" ht="16">
      <c r="B35" s="679" t="s">
        <v>411</v>
      </c>
      <c r="C35" s="666" t="s">
        <v>1306</v>
      </c>
      <c r="P35" s="773" t="s">
        <v>1307</v>
      </c>
      <c r="Q35" s="774"/>
    </row>
    <row r="36" spans="1:17" ht="16">
      <c r="B36" s="679" t="s">
        <v>130</v>
      </c>
      <c r="C36" s="679" t="s">
        <v>1308</v>
      </c>
      <c r="P36" s="773" t="s">
        <v>1309</v>
      </c>
      <c r="Q36" s="774"/>
    </row>
    <row r="37" spans="1:17" ht="16">
      <c r="P37" s="773" t="s">
        <v>1310</v>
      </c>
      <c r="Q37" s="774"/>
    </row>
    <row r="38" spans="1:17" ht="16" thickBot="1">
      <c r="P38" s="686"/>
    </row>
    <row r="39" spans="1:17" ht="17" thickBot="1">
      <c r="A39" s="698" t="s">
        <v>128</v>
      </c>
      <c r="B39" s="672"/>
      <c r="C39" s="411" t="s">
        <v>1311</v>
      </c>
      <c r="D39" s="274"/>
      <c r="E39" s="274"/>
      <c r="F39" s="274"/>
      <c r="G39" s="274"/>
      <c r="H39" s="274"/>
      <c r="I39" s="274"/>
      <c r="J39" s="274"/>
      <c r="K39" s="274"/>
      <c r="L39" s="274"/>
      <c r="M39" s="678">
        <v>2</v>
      </c>
      <c r="N39" s="697" t="s">
        <v>409</v>
      </c>
      <c r="P39" s="686"/>
    </row>
    <row r="40" spans="1:17">
      <c r="B40" s="679" t="s">
        <v>410</v>
      </c>
      <c r="C40" s="666" t="s">
        <v>1312</v>
      </c>
      <c r="L40" s="616"/>
      <c r="P40" s="686"/>
    </row>
    <row r="41" spans="1:17">
      <c r="B41" s="679" t="s">
        <v>411</v>
      </c>
      <c r="C41" s="666" t="s">
        <v>1313</v>
      </c>
      <c r="P41" s="686"/>
      <c r="Q41" s="612"/>
    </row>
    <row r="42" spans="1:17">
      <c r="B42" s="679" t="s">
        <v>130</v>
      </c>
      <c r="C42" s="679" t="s">
        <v>1314</v>
      </c>
      <c r="P42" s="686"/>
      <c r="Q42" s="612"/>
    </row>
  </sheetData>
  <mergeCells count="3">
    <mergeCell ref="C7:L7"/>
    <mergeCell ref="P9:W9"/>
    <mergeCell ref="C18:L18"/>
  </mergeCells>
  <dataValidations count="2">
    <dataValidation type="list" allowBlank="1" showInputMessage="1" showErrorMessage="1" sqref="B20:B24 B9:B14 B32:B35 B40:B41" xr:uid="{00000000-0002-0000-2700-000000000000}">
      <formula1>Choix_capacité</formula1>
    </dataValidation>
    <dataValidation type="list" allowBlank="1" showInputMessage="1" showErrorMessage="1" sqref="N7 N18 N39 N30:N31" xr:uid="{00000000-0002-0000-2700-000001000000}">
      <formula1>choix</formula1>
    </dataValidation>
  </dataValidations>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1">
    <pageSetUpPr fitToPage="1"/>
  </sheetPr>
  <dimension ref="A2:AF65"/>
  <sheetViews>
    <sheetView topLeftCell="A5" zoomScale="60" zoomScaleNormal="60" workbookViewId="0">
      <selection activeCell="P58" sqref="P58"/>
    </sheetView>
  </sheetViews>
  <sheetFormatPr baseColWidth="10" defaultColWidth="11.5" defaultRowHeight="15"/>
  <cols>
    <col min="1" max="1" width="18.83203125" style="1" customWidth="1"/>
    <col min="2" max="2" width="15.1640625" style="17" bestFit="1" customWidth="1"/>
    <col min="3" max="3" width="6.5" style="17" customWidth="1"/>
    <col min="4" max="4" width="56.5" style="1" bestFit="1" customWidth="1"/>
    <col min="5" max="5" width="7.5" style="22" customWidth="1"/>
    <col min="6" max="6" width="8.5" style="2" customWidth="1"/>
    <col min="7" max="7" width="6.83203125" style="29" customWidth="1"/>
    <col min="8" max="8" width="6.83203125" style="1" customWidth="1"/>
    <col min="9" max="9" width="4.6640625" style="1" customWidth="1"/>
    <col min="10" max="10" width="4.1640625" style="1" customWidth="1"/>
    <col min="11" max="11" width="8.33203125" style="1" customWidth="1"/>
    <col min="12" max="12" width="6" style="55" customWidth="1"/>
    <col min="13" max="13" width="1" style="5" customWidth="1"/>
    <col min="14" max="14" width="9.6640625" style="1" customWidth="1"/>
    <col min="15" max="15" width="6.6640625" style="1" customWidth="1"/>
    <col min="16" max="16" width="9.6640625" style="1" customWidth="1"/>
    <col min="17" max="17" width="9.5" style="1" bestFit="1" customWidth="1"/>
    <col min="18" max="18" width="9.6640625" style="1" customWidth="1"/>
    <col min="19" max="20" width="6.6640625" style="1" customWidth="1"/>
    <col min="21" max="21" width="6.6640625" customWidth="1"/>
    <col min="22" max="22" width="1" style="5" customWidth="1"/>
    <col min="23" max="23" width="6.6640625" style="1" customWidth="1"/>
    <col min="24" max="24" width="6.6640625" style="1" bestFit="1" customWidth="1"/>
    <col min="25" max="25" width="3.83203125" style="1" bestFit="1" customWidth="1"/>
    <col min="26" max="26" width="6.6640625" style="1" bestFit="1" customWidth="1"/>
    <col min="27" max="27" width="6.6640625" style="1" customWidth="1"/>
    <col min="28" max="28" width="6.6640625" style="1" bestFit="1" customWidth="1"/>
    <col min="29" max="29" width="5.6640625" style="1" customWidth="1"/>
    <col min="30" max="16384" width="11.5" style="1"/>
  </cols>
  <sheetData>
    <row r="2" spans="2:32" ht="25" thickBot="1">
      <c r="D2" s="447" t="s">
        <v>752</v>
      </c>
    </row>
    <row r="3" spans="2:32" ht="53.25" customHeight="1" thickBot="1">
      <c r="D3" s="222" t="s">
        <v>123</v>
      </c>
      <c r="H3" s="1101" t="s">
        <v>499</v>
      </c>
      <c r="I3" s="1102"/>
      <c r="J3" s="1102"/>
      <c r="K3" s="1102"/>
      <c r="L3" s="1103"/>
      <c r="N3" s="1104" t="s">
        <v>67</v>
      </c>
      <c r="O3" s="1105"/>
      <c r="P3" s="1105"/>
      <c r="Q3" s="1105"/>
      <c r="R3" s="1105"/>
      <c r="S3" s="1105"/>
      <c r="T3" s="1105"/>
      <c r="U3" s="1106"/>
      <c r="W3" s="1121" t="s">
        <v>489</v>
      </c>
      <c r="X3" s="1122"/>
      <c r="Y3" s="1122"/>
      <c r="Z3" s="1122"/>
      <c r="AA3" s="1122"/>
      <c r="AB3" s="1122"/>
      <c r="AC3" s="1123"/>
    </row>
    <row r="4" spans="2:32" ht="313.5" customHeight="1" thickBot="1">
      <c r="D4" s="90" t="s">
        <v>83</v>
      </c>
      <c r="H4" s="360" t="s">
        <v>506</v>
      </c>
      <c r="I4" s="359" t="s">
        <v>501</v>
      </c>
      <c r="J4" s="54" t="s">
        <v>502</v>
      </c>
      <c r="K4" s="359" t="s">
        <v>507</v>
      </c>
      <c r="L4" s="56" t="s">
        <v>504</v>
      </c>
      <c r="N4" s="6" t="s">
        <v>480</v>
      </c>
      <c r="O4" s="7" t="s">
        <v>476</v>
      </c>
      <c r="P4" s="7" t="s">
        <v>477</v>
      </c>
      <c r="Q4" s="7" t="s">
        <v>124</v>
      </c>
      <c r="R4" s="7" t="s">
        <v>64</v>
      </c>
      <c r="S4" s="7" t="s">
        <v>478</v>
      </c>
      <c r="T4" s="7" t="s">
        <v>71</v>
      </c>
      <c r="U4" s="8" t="s">
        <v>479</v>
      </c>
      <c r="W4" s="26" t="s">
        <v>490</v>
      </c>
      <c r="X4" s="361" t="s">
        <v>491</v>
      </c>
      <c r="Y4" s="27" t="s">
        <v>492</v>
      </c>
      <c r="Z4" s="27" t="s">
        <v>493</v>
      </c>
      <c r="AA4" s="27" t="s">
        <v>494</v>
      </c>
      <c r="AB4" s="27" t="s">
        <v>495</v>
      </c>
      <c r="AC4" s="362" t="s">
        <v>496</v>
      </c>
    </row>
    <row r="5" spans="2:32" ht="16" thickBot="1">
      <c r="F5" s="97" t="s">
        <v>55</v>
      </c>
      <c r="G5" s="98" t="s">
        <v>62</v>
      </c>
    </row>
    <row r="6" spans="2:32" ht="15" customHeight="1">
      <c r="B6" s="99" t="s">
        <v>105</v>
      </c>
      <c r="C6" s="989" t="s">
        <v>99</v>
      </c>
      <c r="D6" s="418" t="s">
        <v>4</v>
      </c>
      <c r="E6" s="23" t="s">
        <v>3</v>
      </c>
      <c r="F6" s="387">
        <v>4</v>
      </c>
      <c r="G6" s="342">
        <v>66</v>
      </c>
      <c r="H6" s="46"/>
      <c r="I6" s="61"/>
      <c r="J6" s="61"/>
      <c r="K6" s="61"/>
      <c r="L6" s="62"/>
      <c r="M6" s="148"/>
      <c r="N6" s="46"/>
      <c r="O6" s="61"/>
      <c r="P6" s="61"/>
      <c r="Q6" s="388" t="s">
        <v>1117</v>
      </c>
      <c r="R6" s="61"/>
      <c r="S6" s="61">
        <v>2</v>
      </c>
      <c r="T6" s="553">
        <v>1</v>
      </c>
      <c r="U6" s="45"/>
      <c r="V6" s="148"/>
      <c r="W6" s="46"/>
      <c r="X6" s="61"/>
      <c r="Y6" s="61"/>
      <c r="Z6" s="61"/>
      <c r="AA6" s="61"/>
      <c r="AB6" s="61"/>
      <c r="AC6" s="69"/>
    </row>
    <row r="7" spans="2:32" ht="15" customHeight="1">
      <c r="B7" s="100" t="s">
        <v>58</v>
      </c>
      <c r="C7" s="990"/>
      <c r="D7" s="606" t="s">
        <v>7</v>
      </c>
      <c r="E7" s="24" t="s">
        <v>8</v>
      </c>
      <c r="F7" s="3">
        <v>2</v>
      </c>
      <c r="G7" s="31">
        <v>31</v>
      </c>
      <c r="H7" s="200"/>
      <c r="I7" s="201"/>
      <c r="J7" s="201"/>
      <c r="K7" s="214"/>
      <c r="L7" s="202"/>
      <c r="M7" s="186"/>
      <c r="N7" s="200">
        <v>2</v>
      </c>
      <c r="O7" s="201">
        <v>2</v>
      </c>
      <c r="P7" s="201">
        <v>1</v>
      </c>
      <c r="Q7" s="201"/>
      <c r="R7" s="557" t="s">
        <v>1117</v>
      </c>
      <c r="S7" s="201"/>
      <c r="T7" s="201"/>
      <c r="U7" s="203"/>
      <c r="V7" s="186"/>
      <c r="W7" s="200"/>
      <c r="X7" s="201"/>
      <c r="Y7" s="201"/>
      <c r="Z7" s="201"/>
      <c r="AA7" s="201"/>
      <c r="AB7" s="201"/>
      <c r="AC7" s="213"/>
      <c r="AF7" s="337"/>
    </row>
    <row r="8" spans="2:32" ht="15" customHeight="1" thickBot="1">
      <c r="B8" s="100"/>
      <c r="C8" s="991"/>
      <c r="D8" s="14" t="s">
        <v>10</v>
      </c>
      <c r="E8" s="25" t="s">
        <v>11</v>
      </c>
      <c r="F8" s="15">
        <v>4</v>
      </c>
      <c r="G8" s="343">
        <v>58</v>
      </c>
      <c r="H8" s="49"/>
      <c r="I8" s="47"/>
      <c r="J8" s="47"/>
      <c r="K8" s="47"/>
      <c r="L8" s="59"/>
      <c r="M8" s="150"/>
      <c r="N8" s="49"/>
      <c r="O8" s="47"/>
      <c r="P8" s="47"/>
      <c r="Q8" s="47">
        <v>2</v>
      </c>
      <c r="R8" s="47"/>
      <c r="S8" s="47"/>
      <c r="T8" s="47">
        <v>1</v>
      </c>
      <c r="U8" s="48"/>
      <c r="V8" s="150"/>
      <c r="W8" s="92"/>
      <c r="X8" s="93"/>
      <c r="Y8" s="93"/>
      <c r="Z8" s="93"/>
      <c r="AA8" s="93"/>
      <c r="AB8" s="93"/>
      <c r="AC8" s="96"/>
      <c r="AF8" s="337"/>
    </row>
    <row r="9" spans="2:32" ht="16">
      <c r="B9" s="100"/>
      <c r="C9" s="989" t="s">
        <v>100</v>
      </c>
      <c r="D9" s="417" t="s">
        <v>2</v>
      </c>
      <c r="E9" s="367" t="s">
        <v>5</v>
      </c>
      <c r="F9" s="366">
        <v>4</v>
      </c>
      <c r="G9" s="342">
        <v>60</v>
      </c>
      <c r="H9" s="46"/>
      <c r="I9" s="61"/>
      <c r="J9" s="61"/>
      <c r="K9" s="61"/>
      <c r="L9" s="62"/>
      <c r="M9" s="148"/>
      <c r="N9" s="368">
        <v>1</v>
      </c>
      <c r="O9" s="388">
        <v>2</v>
      </c>
      <c r="P9" s="61" t="s">
        <v>508</v>
      </c>
      <c r="Q9" s="61"/>
      <c r="R9" s="61"/>
      <c r="S9" s="61"/>
      <c r="T9" s="61"/>
      <c r="U9" s="45"/>
      <c r="V9" s="148"/>
      <c r="W9" s="46"/>
      <c r="X9" s="61"/>
      <c r="Y9" s="61"/>
      <c r="Z9" s="61"/>
      <c r="AA9" s="61"/>
      <c r="AB9" s="61"/>
      <c r="AC9" s="69"/>
      <c r="AF9" s="337"/>
    </row>
    <row r="10" spans="2:32" ht="16">
      <c r="B10" s="100"/>
      <c r="C10" s="990"/>
      <c r="D10" s="426" t="s">
        <v>0</v>
      </c>
      <c r="E10" s="427" t="s">
        <v>6</v>
      </c>
      <c r="F10" s="3">
        <v>5</v>
      </c>
      <c r="G10" s="139">
        <v>72</v>
      </c>
      <c r="H10" s="37"/>
      <c r="I10" s="38"/>
      <c r="J10" s="38"/>
      <c r="K10" s="38"/>
      <c r="L10" s="58"/>
      <c r="M10" s="36"/>
      <c r="N10" s="37">
        <v>2</v>
      </c>
      <c r="O10" s="38">
        <v>1</v>
      </c>
      <c r="P10" s="38"/>
      <c r="Q10" s="38"/>
      <c r="R10" s="38"/>
      <c r="S10" s="38"/>
      <c r="T10" s="38"/>
      <c r="U10" s="39"/>
      <c r="V10" s="36"/>
      <c r="W10" s="37"/>
      <c r="X10" s="38"/>
      <c r="Y10" s="38"/>
      <c r="Z10" s="38"/>
      <c r="AA10" s="38"/>
      <c r="AB10" s="38"/>
      <c r="AC10" s="70"/>
      <c r="AF10" s="337"/>
    </row>
    <row r="11" spans="2:32" ht="17" thickBot="1">
      <c r="B11" s="100"/>
      <c r="C11" s="991"/>
      <c r="D11" s="795" t="s">
        <v>9</v>
      </c>
      <c r="E11" s="25" t="s">
        <v>1</v>
      </c>
      <c r="F11" s="15">
        <v>4</v>
      </c>
      <c r="G11" s="343">
        <v>59</v>
      </c>
      <c r="H11" s="49"/>
      <c r="I11" s="47"/>
      <c r="J11" s="47"/>
      <c r="K11" s="47"/>
      <c r="L11" s="59"/>
      <c r="M11" s="150"/>
      <c r="N11" s="796">
        <v>2</v>
      </c>
      <c r="O11" s="47"/>
      <c r="P11" s="47"/>
      <c r="Q11" s="47"/>
      <c r="R11" s="708" t="s">
        <v>1366</v>
      </c>
      <c r="S11" s="47"/>
      <c r="T11" s="47">
        <v>2</v>
      </c>
      <c r="U11" s="48"/>
      <c r="V11" s="150"/>
      <c r="W11" s="92"/>
      <c r="X11" s="93"/>
      <c r="Y11" s="93"/>
      <c r="Z11" s="93"/>
      <c r="AA11" s="93"/>
      <c r="AB11" s="93"/>
      <c r="AC11" s="96"/>
      <c r="AF11" s="337"/>
    </row>
    <row r="12" spans="2:32" ht="17" thickBot="1">
      <c r="B12" s="101"/>
      <c r="C12" s="146" t="s">
        <v>101</v>
      </c>
      <c r="D12" s="650" t="s">
        <v>84</v>
      </c>
      <c r="E12" s="153" t="s">
        <v>85</v>
      </c>
      <c r="F12" s="339">
        <v>3</v>
      </c>
      <c r="G12" s="154">
        <v>32</v>
      </c>
      <c r="H12" s="155"/>
      <c r="I12" s="156"/>
      <c r="J12" s="156"/>
      <c r="K12" s="156"/>
      <c r="L12" s="157"/>
      <c r="M12" s="1"/>
      <c r="N12" s="158"/>
      <c r="O12" s="159"/>
      <c r="P12" s="159"/>
      <c r="Q12" s="159"/>
      <c r="R12" s="797"/>
      <c r="S12" s="159"/>
      <c r="T12" s="159"/>
      <c r="U12" s="157"/>
      <c r="V12" s="36"/>
      <c r="W12" s="169"/>
      <c r="X12" s="651">
        <v>2</v>
      </c>
      <c r="Y12" s="651">
        <v>2</v>
      </c>
      <c r="Z12" s="651">
        <v>1</v>
      </c>
      <c r="AA12" s="651"/>
      <c r="AB12" s="651">
        <v>1</v>
      </c>
      <c r="AC12" s="78"/>
      <c r="AF12" s="337"/>
    </row>
    <row r="13" spans="2:32" ht="5" customHeight="1" thickBot="1">
      <c r="H13" s="43"/>
      <c r="I13" s="43"/>
      <c r="J13" s="43"/>
      <c r="K13" s="43"/>
      <c r="L13" s="60"/>
      <c r="M13" s="36"/>
      <c r="N13" s="43"/>
      <c r="O13" s="43"/>
      <c r="P13" s="43"/>
      <c r="Q13" s="43"/>
      <c r="R13" s="43"/>
      <c r="S13" s="43"/>
      <c r="T13" s="43"/>
      <c r="U13" s="43"/>
      <c r="V13" s="36"/>
      <c r="W13" s="43"/>
      <c r="X13" s="43"/>
      <c r="Y13" s="43"/>
      <c r="Z13" s="43"/>
      <c r="AA13" s="43"/>
      <c r="AB13" s="43"/>
      <c r="AF13" s="337"/>
    </row>
    <row r="14" spans="2:32" ht="15" customHeight="1">
      <c r="B14" s="99" t="s">
        <v>105</v>
      </c>
      <c r="C14" s="989" t="s">
        <v>102</v>
      </c>
      <c r="D14" s="418" t="s">
        <v>12</v>
      </c>
      <c r="E14" s="23" t="s">
        <v>13</v>
      </c>
      <c r="F14" s="11">
        <v>5</v>
      </c>
      <c r="G14" s="342">
        <v>72</v>
      </c>
      <c r="H14" s="46"/>
      <c r="I14" s="61"/>
      <c r="J14" s="61"/>
      <c r="K14" s="61"/>
      <c r="L14" s="62"/>
      <c r="M14" s="148"/>
      <c r="N14" s="368">
        <v>2</v>
      </c>
      <c r="O14" s="553"/>
      <c r="P14" s="553">
        <v>2</v>
      </c>
      <c r="Q14" s="388" t="s">
        <v>1097</v>
      </c>
      <c r="R14" s="61">
        <v>2</v>
      </c>
      <c r="S14" s="388" t="s">
        <v>1097</v>
      </c>
      <c r="T14" s="61"/>
      <c r="U14" s="45"/>
      <c r="V14" s="148"/>
      <c r="W14" s="46"/>
      <c r="X14" s="61"/>
      <c r="Y14" s="61"/>
      <c r="Z14" s="61"/>
      <c r="AA14" s="61"/>
      <c r="AB14" s="61"/>
      <c r="AC14" s="69"/>
    </row>
    <row r="15" spans="2:32" ht="15" customHeight="1">
      <c r="B15" s="100" t="s">
        <v>59</v>
      </c>
      <c r="C15" s="990"/>
      <c r="D15" s="426" t="s">
        <v>18</v>
      </c>
      <c r="E15" s="24" t="s">
        <v>19</v>
      </c>
      <c r="F15" s="3">
        <v>2</v>
      </c>
      <c r="G15" s="88">
        <v>32</v>
      </c>
      <c r="H15" s="200"/>
      <c r="I15" s="201"/>
      <c r="J15" s="201"/>
      <c r="K15" s="201"/>
      <c r="L15" s="202"/>
      <c r="M15" s="186"/>
      <c r="N15" s="714">
        <v>1</v>
      </c>
      <c r="O15" s="201">
        <v>2</v>
      </c>
      <c r="P15" s="557">
        <v>1</v>
      </c>
      <c r="Q15" s="201"/>
      <c r="R15" s="557">
        <v>1</v>
      </c>
      <c r="S15" s="201"/>
      <c r="T15" s="201"/>
      <c r="U15" s="203"/>
      <c r="V15" s="186"/>
      <c r="W15" s="200"/>
      <c r="X15" s="201"/>
      <c r="Y15" s="201"/>
      <c r="Z15" s="201"/>
      <c r="AA15" s="201"/>
      <c r="AB15" s="201"/>
      <c r="AC15" s="213"/>
    </row>
    <row r="16" spans="2:32" ht="16" thickBot="1">
      <c r="B16" s="100"/>
      <c r="C16" s="991"/>
      <c r="D16" s="14" t="s">
        <v>22</v>
      </c>
      <c r="E16" s="25" t="s">
        <v>23</v>
      </c>
      <c r="F16" s="15">
        <v>5</v>
      </c>
      <c r="G16" s="343">
        <v>58</v>
      </c>
      <c r="H16" s="49"/>
      <c r="I16" s="47"/>
      <c r="J16" s="47"/>
      <c r="K16" s="47"/>
      <c r="L16" s="59"/>
      <c r="M16" s="150"/>
      <c r="N16" s="49"/>
      <c r="O16" s="47"/>
      <c r="P16" s="47"/>
      <c r="Q16" s="47">
        <v>2</v>
      </c>
      <c r="R16" s="47"/>
      <c r="S16" s="47"/>
      <c r="T16" s="47">
        <v>1</v>
      </c>
      <c r="U16" s="48"/>
      <c r="V16" s="150"/>
      <c r="W16" s="49"/>
      <c r="X16" s="47"/>
      <c r="Y16" s="47"/>
      <c r="Z16" s="47"/>
      <c r="AA16" s="47"/>
      <c r="AB16" s="47"/>
      <c r="AC16" s="72"/>
    </row>
    <row r="17" spans="2:29">
      <c r="B17" s="100"/>
      <c r="C17" s="989" t="s">
        <v>103</v>
      </c>
      <c r="D17" s="418" t="s">
        <v>14</v>
      </c>
      <c r="E17" s="367" t="s">
        <v>15</v>
      </c>
      <c r="F17" s="387">
        <v>4</v>
      </c>
      <c r="G17" s="342">
        <v>78</v>
      </c>
      <c r="H17" s="46"/>
      <c r="I17" s="61"/>
      <c r="J17" s="61"/>
      <c r="K17" s="61"/>
      <c r="L17" s="62"/>
      <c r="M17" s="148"/>
      <c r="N17" s="389">
        <v>2</v>
      </c>
      <c r="O17" s="388">
        <v>2</v>
      </c>
      <c r="P17" s="388">
        <v>2</v>
      </c>
      <c r="Q17" s="61"/>
      <c r="R17" s="61"/>
      <c r="S17" s="61">
        <v>1</v>
      </c>
      <c r="T17" s="61"/>
      <c r="U17" s="45"/>
      <c r="V17" s="148"/>
      <c r="W17" s="46"/>
      <c r="X17" s="61"/>
      <c r="Y17" s="61"/>
      <c r="Z17" s="61"/>
      <c r="AA17" s="61"/>
      <c r="AB17" s="61"/>
      <c r="AC17" s="69"/>
    </row>
    <row r="18" spans="2:29">
      <c r="B18" s="100"/>
      <c r="C18" s="990"/>
      <c r="D18" s="426" t="s">
        <v>16</v>
      </c>
      <c r="E18" s="427" t="s">
        <v>17</v>
      </c>
      <c r="F18" s="3">
        <v>6</v>
      </c>
      <c r="G18" s="139">
        <v>88</v>
      </c>
      <c r="H18" s="37"/>
      <c r="I18" s="38"/>
      <c r="J18" s="38"/>
      <c r="K18" s="38"/>
      <c r="L18" s="58"/>
      <c r="M18" s="36"/>
      <c r="N18" s="37">
        <v>2</v>
      </c>
      <c r="O18" s="38"/>
      <c r="P18" s="38"/>
      <c r="Q18" s="38"/>
      <c r="R18" s="38">
        <v>2</v>
      </c>
      <c r="S18" s="38">
        <v>1</v>
      </c>
      <c r="T18" s="38"/>
      <c r="U18" s="39"/>
      <c r="V18" s="36"/>
      <c r="W18" s="37"/>
      <c r="X18" s="38"/>
      <c r="Y18" s="38"/>
      <c r="Z18" s="38"/>
      <c r="AA18" s="38"/>
      <c r="AB18" s="38"/>
      <c r="AC18" s="70"/>
    </row>
    <row r="19" spans="2:29" ht="16" thickBot="1">
      <c r="B19" s="100"/>
      <c r="C19" s="990"/>
      <c r="D19" s="795" t="s">
        <v>20</v>
      </c>
      <c r="E19" s="25" t="s">
        <v>21</v>
      </c>
      <c r="F19" s="15">
        <v>2</v>
      </c>
      <c r="G19" s="343">
        <v>31</v>
      </c>
      <c r="H19" s="49"/>
      <c r="I19" s="47"/>
      <c r="J19" s="47"/>
      <c r="K19" s="47"/>
      <c r="L19" s="59"/>
      <c r="M19" s="150"/>
      <c r="N19" s="49"/>
      <c r="O19" s="47"/>
      <c r="P19" s="47"/>
      <c r="Q19" s="708" t="s">
        <v>1117</v>
      </c>
      <c r="R19" s="47">
        <v>2</v>
      </c>
      <c r="S19" s="47"/>
      <c r="T19" s="47">
        <v>2</v>
      </c>
      <c r="U19" s="48">
        <v>1</v>
      </c>
      <c r="V19" s="150"/>
      <c r="W19" s="49"/>
      <c r="X19" s="47"/>
      <c r="Y19" s="47"/>
      <c r="Z19" s="47"/>
      <c r="AA19" s="47"/>
      <c r="AB19" s="47"/>
      <c r="AC19" s="72"/>
    </row>
    <row r="20" spans="2:29" ht="16" thickBot="1">
      <c r="B20" s="101"/>
      <c r="C20" s="165" t="s">
        <v>104</v>
      </c>
      <c r="D20" s="707" t="s">
        <v>86</v>
      </c>
      <c r="E20" s="15" t="s">
        <v>87</v>
      </c>
      <c r="F20" s="708">
        <v>3</v>
      </c>
      <c r="G20" s="343">
        <v>35</v>
      </c>
      <c r="H20" s="126"/>
      <c r="I20" s="119"/>
      <c r="J20" s="119"/>
      <c r="K20" s="119"/>
      <c r="L20" s="72"/>
      <c r="M20" s="1"/>
      <c r="N20" s="14"/>
      <c r="O20" s="71"/>
      <c r="P20" s="71"/>
      <c r="Q20" s="71"/>
      <c r="R20" s="71"/>
      <c r="S20" s="71"/>
      <c r="T20" s="71"/>
      <c r="U20" s="72"/>
      <c r="V20" s="36"/>
      <c r="W20" s="169"/>
      <c r="X20" s="651">
        <v>2</v>
      </c>
      <c r="Y20" s="651">
        <v>2</v>
      </c>
      <c r="Z20" s="651"/>
      <c r="AA20" s="651">
        <v>1</v>
      </c>
      <c r="AB20" s="651">
        <v>2</v>
      </c>
      <c r="AC20" s="709">
        <v>1</v>
      </c>
    </row>
    <row r="21" spans="2:29" ht="10.5" customHeight="1" thickBot="1">
      <c r="H21" s="43"/>
      <c r="I21" s="43"/>
      <c r="J21" s="43"/>
      <c r="K21" s="43"/>
      <c r="L21" s="60"/>
      <c r="M21" s="36"/>
      <c r="N21" s="43"/>
      <c r="O21" s="43"/>
      <c r="P21" s="43"/>
      <c r="Q21" s="43"/>
      <c r="R21" s="43"/>
      <c r="S21" s="43"/>
      <c r="T21" s="43"/>
      <c r="U21" s="43"/>
      <c r="V21" s="36"/>
      <c r="W21" s="43"/>
      <c r="X21" s="43"/>
      <c r="Y21" s="43"/>
      <c r="Z21" s="43"/>
      <c r="AA21" s="43"/>
      <c r="AB21" s="43"/>
    </row>
    <row r="22" spans="2:29" ht="15" customHeight="1">
      <c r="B22" s="18" t="s">
        <v>106</v>
      </c>
      <c r="C22" s="989" t="s">
        <v>108</v>
      </c>
      <c r="D22" s="16" t="s">
        <v>1098</v>
      </c>
      <c r="E22" s="23" t="s">
        <v>24</v>
      </c>
      <c r="F22" s="387">
        <v>3</v>
      </c>
      <c r="G22" s="554">
        <v>50</v>
      </c>
      <c r="H22" s="46"/>
      <c r="I22" s="61"/>
      <c r="J22" s="61"/>
      <c r="K22" s="61"/>
      <c r="L22" s="62"/>
      <c r="M22" s="148"/>
      <c r="N22" s="368">
        <v>2</v>
      </c>
      <c r="O22" s="553"/>
      <c r="P22" s="553">
        <v>2</v>
      </c>
      <c r="Q22" s="553">
        <v>2</v>
      </c>
      <c r="R22" s="553">
        <v>3</v>
      </c>
      <c r="S22" s="61">
        <v>3</v>
      </c>
      <c r="T22" s="61">
        <v>2</v>
      </c>
      <c r="U22" s="45"/>
      <c r="V22" s="148"/>
      <c r="W22" s="46"/>
      <c r="X22" s="61"/>
      <c r="Y22" s="61"/>
      <c r="Z22" s="61"/>
      <c r="AA22" s="61"/>
      <c r="AB22" s="61"/>
      <c r="AC22" s="69"/>
    </row>
    <row r="23" spans="2:29">
      <c r="B23" s="19" t="s">
        <v>60</v>
      </c>
      <c r="C23" s="990"/>
      <c r="D23" s="555" t="s">
        <v>1099</v>
      </c>
      <c r="E23" s="24" t="s">
        <v>27</v>
      </c>
      <c r="F23" s="3">
        <v>3</v>
      </c>
      <c r="G23" s="556">
        <v>49</v>
      </c>
      <c r="H23" s="37"/>
      <c r="I23" s="38"/>
      <c r="J23" s="38"/>
      <c r="K23" s="38"/>
      <c r="L23" s="58"/>
      <c r="M23" s="36"/>
      <c r="N23" s="37"/>
      <c r="O23" s="38"/>
      <c r="P23" s="436">
        <v>3</v>
      </c>
      <c r="Q23" s="38">
        <v>3</v>
      </c>
      <c r="R23" s="38"/>
      <c r="S23" s="38">
        <v>3</v>
      </c>
      <c r="T23" s="124">
        <v>2</v>
      </c>
      <c r="U23" s="39">
        <v>2</v>
      </c>
      <c r="V23" s="36"/>
      <c r="W23" s="37"/>
      <c r="X23" s="38"/>
      <c r="Y23" s="38"/>
      <c r="Z23" s="38"/>
      <c r="AA23" s="38"/>
      <c r="AB23" s="38"/>
      <c r="AC23" s="70"/>
    </row>
    <row r="24" spans="2:29">
      <c r="B24" s="19"/>
      <c r="C24" s="990"/>
      <c r="D24" s="13" t="s">
        <v>36</v>
      </c>
      <c r="E24" s="24" t="s">
        <v>37</v>
      </c>
      <c r="F24" s="3">
        <v>3</v>
      </c>
      <c r="G24" s="34">
        <v>40</v>
      </c>
      <c r="H24" s="37"/>
      <c r="I24" s="38"/>
      <c r="J24" s="38"/>
      <c r="K24" s="38"/>
      <c r="L24" s="58"/>
      <c r="M24" s="36"/>
      <c r="N24" s="37"/>
      <c r="O24" s="38"/>
      <c r="P24" s="38"/>
      <c r="Q24" s="38">
        <v>2</v>
      </c>
      <c r="R24" s="38"/>
      <c r="S24" s="38"/>
      <c r="T24" s="38"/>
      <c r="U24" s="39"/>
      <c r="V24" s="36"/>
      <c r="W24" s="37"/>
      <c r="X24" s="38"/>
      <c r="Y24" s="38"/>
      <c r="Z24" s="38"/>
      <c r="AA24" s="38"/>
      <c r="AB24" s="38"/>
      <c r="AC24" s="70"/>
    </row>
    <row r="25" spans="2:29" s="188" customFormat="1" ht="16" thickBot="1">
      <c r="B25" s="216"/>
      <c r="C25" s="991"/>
      <c r="D25" s="630" t="s">
        <v>30</v>
      </c>
      <c r="E25" s="25" t="s">
        <v>31</v>
      </c>
      <c r="F25" s="25">
        <v>3</v>
      </c>
      <c r="G25" s="218">
        <v>38</v>
      </c>
      <c r="H25" s="192"/>
      <c r="I25" s="193"/>
      <c r="J25" s="193"/>
      <c r="K25" s="193"/>
      <c r="L25" s="194"/>
      <c r="M25" s="219"/>
      <c r="N25" s="192"/>
      <c r="O25" s="193"/>
      <c r="P25" s="193"/>
      <c r="Q25" s="193">
        <v>2</v>
      </c>
      <c r="R25" s="193">
        <v>2</v>
      </c>
      <c r="S25" s="193"/>
      <c r="T25" s="631">
        <v>1</v>
      </c>
      <c r="U25" s="196"/>
      <c r="V25" s="219"/>
      <c r="W25" s="192"/>
      <c r="X25" s="193"/>
      <c r="Y25" s="193"/>
      <c r="Z25" s="193"/>
      <c r="AA25" s="193"/>
      <c r="AB25" s="193"/>
      <c r="AC25" s="199"/>
    </row>
    <row r="26" spans="2:29">
      <c r="B26" s="19"/>
      <c r="C26" s="989" t="s">
        <v>109</v>
      </c>
      <c r="D26" s="418" t="s">
        <v>28</v>
      </c>
      <c r="E26" s="367" t="s">
        <v>29</v>
      </c>
      <c r="F26" s="11">
        <v>3</v>
      </c>
      <c r="G26" s="33">
        <v>50</v>
      </c>
      <c r="H26" s="46"/>
      <c r="I26" s="61"/>
      <c r="J26" s="61"/>
      <c r="K26" s="61"/>
      <c r="L26" s="62"/>
      <c r="M26" s="148"/>
      <c r="N26" s="46">
        <v>3</v>
      </c>
      <c r="O26" s="388" t="s">
        <v>568</v>
      </c>
      <c r="P26" s="388" t="s">
        <v>569</v>
      </c>
      <c r="Q26" s="61"/>
      <c r="R26" s="61"/>
      <c r="S26" s="61">
        <v>1</v>
      </c>
      <c r="T26" s="61"/>
      <c r="U26" s="45"/>
      <c r="V26" s="148"/>
      <c r="W26" s="46"/>
      <c r="X26" s="61"/>
      <c r="Y26" s="61"/>
      <c r="Z26" s="61"/>
      <c r="AA26" s="61"/>
      <c r="AB26" s="61"/>
      <c r="AC26" s="69"/>
    </row>
    <row r="27" spans="2:29">
      <c r="B27" s="19"/>
      <c r="C27" s="990"/>
      <c r="D27" s="12" t="s">
        <v>34</v>
      </c>
      <c r="E27" s="24" t="s">
        <v>35</v>
      </c>
      <c r="F27" s="3">
        <v>4</v>
      </c>
      <c r="G27" s="34">
        <v>74</v>
      </c>
      <c r="H27" s="200"/>
      <c r="I27" s="214"/>
      <c r="J27" s="201"/>
      <c r="K27" s="201"/>
      <c r="L27" s="202"/>
      <c r="M27" s="186"/>
      <c r="N27" s="200">
        <v>3</v>
      </c>
      <c r="O27" s="201">
        <v>2</v>
      </c>
      <c r="P27" s="201">
        <v>2</v>
      </c>
      <c r="Q27" s="201"/>
      <c r="R27" s="201">
        <v>2</v>
      </c>
      <c r="S27" s="201"/>
      <c r="T27" s="201"/>
      <c r="U27" s="203">
        <v>2</v>
      </c>
      <c r="V27" s="186"/>
      <c r="W27" s="200"/>
      <c r="X27" s="201"/>
      <c r="Y27" s="201"/>
      <c r="Z27" s="201"/>
      <c r="AA27" s="201"/>
      <c r="AB27" s="201"/>
      <c r="AC27" s="213"/>
    </row>
    <row r="28" spans="2:29">
      <c r="B28" s="19"/>
      <c r="C28" s="990"/>
      <c r="D28" s="426" t="s">
        <v>32</v>
      </c>
      <c r="E28" s="24" t="s">
        <v>33</v>
      </c>
      <c r="F28" s="3">
        <v>3</v>
      </c>
      <c r="G28" s="34">
        <v>34</v>
      </c>
      <c r="H28" s="37"/>
      <c r="I28" s="38"/>
      <c r="J28" s="38"/>
      <c r="K28" s="38"/>
      <c r="L28" s="58"/>
      <c r="M28" s="36"/>
      <c r="N28" s="37"/>
      <c r="O28" s="38"/>
      <c r="P28" s="38"/>
      <c r="Q28" s="38">
        <v>3</v>
      </c>
      <c r="R28" s="38"/>
      <c r="S28" s="38"/>
      <c r="T28" s="38">
        <v>3</v>
      </c>
      <c r="U28" s="39">
        <v>2</v>
      </c>
      <c r="V28" s="36"/>
      <c r="W28" s="37"/>
      <c r="X28" s="38"/>
      <c r="Y28" s="38"/>
      <c r="Z28" s="38"/>
      <c r="AA28" s="38"/>
      <c r="AB28" s="38"/>
      <c r="AC28" s="70"/>
    </row>
    <row r="29" spans="2:29" ht="16" thickBot="1">
      <c r="B29" s="19"/>
      <c r="C29" s="991"/>
      <c r="D29" s="14" t="s">
        <v>38</v>
      </c>
      <c r="E29" s="25" t="s">
        <v>39</v>
      </c>
      <c r="F29" s="15">
        <v>3</v>
      </c>
      <c r="G29" s="35">
        <v>7</v>
      </c>
      <c r="H29" s="345" t="s">
        <v>81</v>
      </c>
      <c r="I29" s="341" t="s">
        <v>81</v>
      </c>
      <c r="J29" s="341" t="s">
        <v>81</v>
      </c>
      <c r="K29" s="341" t="s">
        <v>81</v>
      </c>
      <c r="L29" s="347" t="s">
        <v>81</v>
      </c>
      <c r="M29" s="150"/>
      <c r="N29" s="345" t="s">
        <v>81</v>
      </c>
      <c r="O29" s="341" t="s">
        <v>81</v>
      </c>
      <c r="P29" s="341" t="s">
        <v>81</v>
      </c>
      <c r="Q29" s="341" t="s">
        <v>81</v>
      </c>
      <c r="R29" s="341" t="s">
        <v>81</v>
      </c>
      <c r="S29" s="341" t="s">
        <v>81</v>
      </c>
      <c r="T29" s="341" t="s">
        <v>81</v>
      </c>
      <c r="U29" s="347" t="s">
        <v>81</v>
      </c>
      <c r="V29" s="150"/>
      <c r="W29" s="49"/>
      <c r="X29" s="47"/>
      <c r="Y29" s="47"/>
      <c r="Z29" s="47"/>
      <c r="AA29" s="47"/>
      <c r="AB29" s="47"/>
      <c r="AC29" s="72"/>
    </row>
    <row r="30" spans="2:29" ht="16" thickBot="1">
      <c r="B30" s="20"/>
      <c r="C30" s="165" t="s">
        <v>110</v>
      </c>
      <c r="D30" s="167" t="s">
        <v>88</v>
      </c>
      <c r="E30" s="74" t="s">
        <v>89</v>
      </c>
      <c r="F30" s="75">
        <v>1</v>
      </c>
      <c r="G30" s="168">
        <v>16</v>
      </c>
      <c r="H30" s="169"/>
      <c r="I30" s="170"/>
      <c r="J30" s="170"/>
      <c r="K30" s="170"/>
      <c r="L30" s="171"/>
      <c r="M30" s="172"/>
      <c r="N30" s="169"/>
      <c r="O30" s="170"/>
      <c r="P30" s="170"/>
      <c r="Q30" s="170"/>
      <c r="R30" s="170"/>
      <c r="S30" s="170"/>
      <c r="T30" s="170"/>
      <c r="U30" s="173"/>
      <c r="V30" s="172"/>
      <c r="W30" s="169"/>
      <c r="X30" s="170"/>
      <c r="Y30" s="170"/>
      <c r="Z30" s="170"/>
      <c r="AA30" s="170"/>
      <c r="AB30" s="170"/>
      <c r="AC30" s="78"/>
    </row>
    <row r="31" spans="2:29" ht="5" customHeight="1" thickBot="1">
      <c r="H31" s="43"/>
      <c r="I31" s="43"/>
      <c r="J31" s="43"/>
      <c r="K31" s="43"/>
      <c r="L31" s="60"/>
      <c r="M31" s="36"/>
      <c r="N31" s="43"/>
      <c r="O31" s="43"/>
      <c r="P31" s="43"/>
      <c r="Q31" s="43"/>
      <c r="R31" s="43"/>
      <c r="S31" s="43"/>
      <c r="T31" s="43"/>
      <c r="V31" s="36"/>
      <c r="W31" s="43"/>
      <c r="X31" s="43"/>
      <c r="Y31" s="43"/>
      <c r="Z31" s="43"/>
      <c r="AA31" s="43"/>
      <c r="AB31" s="43"/>
    </row>
    <row r="32" spans="2:29" ht="18" customHeight="1">
      <c r="B32" s="21" t="s">
        <v>106</v>
      </c>
      <c r="C32" s="989" t="s">
        <v>111</v>
      </c>
      <c r="D32" s="1099" t="s">
        <v>40</v>
      </c>
      <c r="E32" s="1109"/>
      <c r="F32" s="1111">
        <v>30</v>
      </c>
      <c r="G32" s="1113"/>
      <c r="H32" s="1027" t="s">
        <v>81</v>
      </c>
      <c r="I32" s="1023" t="s">
        <v>81</v>
      </c>
      <c r="J32" s="1023" t="s">
        <v>81</v>
      </c>
      <c r="K32" s="1023" t="s">
        <v>81</v>
      </c>
      <c r="L32" s="1117" t="s">
        <v>81</v>
      </c>
      <c r="M32" s="84"/>
      <c r="N32" s="1119" t="s">
        <v>81</v>
      </c>
      <c r="O32" s="1023" t="s">
        <v>81</v>
      </c>
      <c r="P32" s="1107" t="s">
        <v>81</v>
      </c>
      <c r="Q32" s="1107" t="s">
        <v>81</v>
      </c>
      <c r="R32" s="1107" t="s">
        <v>81</v>
      </c>
      <c r="S32" s="1107" t="s">
        <v>81</v>
      </c>
      <c r="T32" s="1107" t="s">
        <v>81</v>
      </c>
      <c r="U32" s="1124" t="s">
        <v>81</v>
      </c>
      <c r="V32" s="84"/>
      <c r="W32" s="1115"/>
      <c r="X32" s="1023"/>
      <c r="Y32" s="1023"/>
      <c r="Z32" s="1023"/>
      <c r="AA32" s="1023"/>
      <c r="AB32" s="1023"/>
      <c r="AC32" s="1033"/>
    </row>
    <row r="33" spans="2:29" ht="18.75" customHeight="1" thickBot="1">
      <c r="B33" s="20" t="s">
        <v>60</v>
      </c>
      <c r="C33" s="991"/>
      <c r="D33" s="1100"/>
      <c r="E33" s="1110"/>
      <c r="F33" s="1112"/>
      <c r="G33" s="1114"/>
      <c r="H33" s="1028"/>
      <c r="I33" s="1024"/>
      <c r="J33" s="1024"/>
      <c r="K33" s="1024"/>
      <c r="L33" s="1118"/>
      <c r="M33" s="84"/>
      <c r="N33" s="1120"/>
      <c r="O33" s="1024"/>
      <c r="P33" s="1108"/>
      <c r="Q33" s="1108"/>
      <c r="R33" s="1108"/>
      <c r="S33" s="1108"/>
      <c r="T33" s="1108"/>
      <c r="U33" s="1125"/>
      <c r="V33" s="84"/>
      <c r="W33" s="1116"/>
      <c r="X33" s="1024"/>
      <c r="Y33" s="1024"/>
      <c r="Z33" s="1024"/>
      <c r="AA33" s="1024"/>
      <c r="AB33" s="1024"/>
      <c r="AC33" s="1034"/>
    </row>
    <row r="34" spans="2:29" ht="11.25" customHeight="1" thickBot="1">
      <c r="C34" s="29"/>
      <c r="H34" s="43"/>
      <c r="I34" s="43"/>
      <c r="J34" s="43"/>
      <c r="K34" s="43"/>
      <c r="L34" s="60"/>
      <c r="M34" s="36"/>
      <c r="N34" s="43"/>
      <c r="O34" s="43"/>
      <c r="P34" s="43"/>
      <c r="Q34" s="43"/>
      <c r="R34" s="43"/>
      <c r="S34" s="43"/>
      <c r="T34" s="43"/>
      <c r="V34" s="36"/>
      <c r="W34" s="43"/>
      <c r="X34" s="43"/>
      <c r="Y34" s="43"/>
      <c r="Z34" s="43"/>
      <c r="AA34" s="43"/>
      <c r="AB34" s="43"/>
    </row>
    <row r="35" spans="2:29" ht="15" customHeight="1">
      <c r="B35" s="21" t="s">
        <v>107</v>
      </c>
      <c r="C35" s="989" t="s">
        <v>112</v>
      </c>
      <c r="D35" s="418" t="s">
        <v>41</v>
      </c>
      <c r="E35" s="23" t="s">
        <v>42</v>
      </c>
      <c r="F35" s="11">
        <v>4</v>
      </c>
      <c r="G35" s="342">
        <v>46</v>
      </c>
      <c r="H35" s="46"/>
      <c r="I35" s="61"/>
      <c r="J35" s="61"/>
      <c r="K35" s="61"/>
      <c r="L35" s="62"/>
      <c r="M35" s="148"/>
      <c r="N35" s="46"/>
      <c r="O35" s="61"/>
      <c r="P35" s="61"/>
      <c r="Q35" s="61"/>
      <c r="R35" s="61"/>
      <c r="S35" s="61"/>
      <c r="T35" s="388" t="s">
        <v>568</v>
      </c>
      <c r="U35" s="45">
        <v>3</v>
      </c>
      <c r="V35" s="148"/>
      <c r="W35" s="46"/>
      <c r="X35" s="61"/>
      <c r="Y35" s="61"/>
      <c r="Z35" s="61"/>
      <c r="AA35" s="61"/>
      <c r="AB35" s="61"/>
      <c r="AC35" s="69"/>
    </row>
    <row r="36" spans="2:29">
      <c r="B36" s="19" t="s">
        <v>61</v>
      </c>
      <c r="C36" s="990"/>
      <c r="D36" s="426" t="s">
        <v>43</v>
      </c>
      <c r="E36" s="24" t="s">
        <v>44</v>
      </c>
      <c r="F36" s="3">
        <v>4</v>
      </c>
      <c r="G36" s="31">
        <v>50</v>
      </c>
      <c r="H36" s="37"/>
      <c r="I36" s="38"/>
      <c r="J36" s="38"/>
      <c r="K36" s="38"/>
      <c r="L36" s="58"/>
      <c r="M36" s="36"/>
      <c r="N36" s="438">
        <v>2</v>
      </c>
      <c r="O36" s="38"/>
      <c r="P36" s="435" t="s">
        <v>568</v>
      </c>
      <c r="Q36" s="38">
        <v>3</v>
      </c>
      <c r="R36" s="436">
        <v>3</v>
      </c>
      <c r="S36" s="38">
        <v>3</v>
      </c>
      <c r="T36" s="436">
        <v>2</v>
      </c>
      <c r="U36" s="39"/>
      <c r="V36" s="36"/>
      <c r="W36" s="37"/>
      <c r="X36" s="38"/>
      <c r="Y36" s="38"/>
      <c r="Z36" s="38"/>
      <c r="AA36" s="38"/>
      <c r="AB36" s="38"/>
      <c r="AC36" s="70"/>
    </row>
    <row r="37" spans="2:29" ht="16" thickBot="1">
      <c r="B37" s="19"/>
      <c r="C37" s="991"/>
      <c r="D37" s="14" t="s">
        <v>47</v>
      </c>
      <c r="E37" s="25" t="s">
        <v>48</v>
      </c>
      <c r="F37" s="15">
        <v>3</v>
      </c>
      <c r="G37" s="343">
        <v>40</v>
      </c>
      <c r="H37" s="49"/>
      <c r="I37" s="47"/>
      <c r="J37" s="47"/>
      <c r="K37" s="47"/>
      <c r="L37" s="59"/>
      <c r="M37" s="150"/>
      <c r="N37" s="49"/>
      <c r="O37" s="47"/>
      <c r="P37" s="47"/>
      <c r="Q37" s="47">
        <v>2</v>
      </c>
      <c r="R37" s="47"/>
      <c r="S37" s="47"/>
      <c r="T37" s="47"/>
      <c r="U37" s="48"/>
      <c r="V37" s="150"/>
      <c r="W37" s="49"/>
      <c r="X37" s="47"/>
      <c r="Y37" s="47"/>
      <c r="Z37" s="47"/>
      <c r="AA37" s="47"/>
      <c r="AB37" s="47"/>
      <c r="AC37" s="72"/>
    </row>
    <row r="38" spans="2:29">
      <c r="B38" s="19"/>
      <c r="C38" s="989" t="s">
        <v>113</v>
      </c>
      <c r="D38" s="147" t="s">
        <v>45</v>
      </c>
      <c r="E38" s="143" t="s">
        <v>46</v>
      </c>
      <c r="F38" s="144">
        <v>2</v>
      </c>
      <c r="G38" s="145">
        <v>24</v>
      </c>
      <c r="H38" s="182"/>
      <c r="I38" s="183"/>
      <c r="J38" s="184"/>
      <c r="K38" s="184"/>
      <c r="L38" s="185"/>
      <c r="M38" s="186"/>
      <c r="N38" s="182">
        <v>2</v>
      </c>
      <c r="O38" s="184"/>
      <c r="P38" s="184"/>
      <c r="Q38" s="184"/>
      <c r="R38" s="184">
        <v>2</v>
      </c>
      <c r="S38" s="184"/>
      <c r="T38" s="184"/>
      <c r="U38" s="187">
        <v>2</v>
      </c>
      <c r="V38" s="186"/>
      <c r="W38" s="363"/>
      <c r="X38" s="364"/>
      <c r="Y38" s="364"/>
      <c r="Z38" s="364"/>
      <c r="AA38" s="364"/>
      <c r="AB38" s="364"/>
      <c r="AC38" s="365"/>
    </row>
    <row r="39" spans="2:29">
      <c r="B39" s="19"/>
      <c r="C39" s="990"/>
      <c r="D39" s="426" t="s">
        <v>49</v>
      </c>
      <c r="E39" s="427" t="s">
        <v>50</v>
      </c>
      <c r="F39" s="3">
        <v>2</v>
      </c>
      <c r="G39" s="31">
        <v>38</v>
      </c>
      <c r="H39" s="37"/>
      <c r="I39" s="38"/>
      <c r="J39" s="38"/>
      <c r="K39" s="38"/>
      <c r="L39" s="58"/>
      <c r="M39" s="36"/>
      <c r="N39" s="438" t="s">
        <v>731</v>
      </c>
      <c r="O39" s="38">
        <v>2</v>
      </c>
      <c r="P39" s="38"/>
      <c r="Q39" s="38"/>
      <c r="R39" s="38">
        <v>2</v>
      </c>
      <c r="S39" s="38"/>
      <c r="T39" s="436">
        <v>3</v>
      </c>
      <c r="U39" s="437">
        <v>2</v>
      </c>
      <c r="V39" s="36"/>
      <c r="W39" s="37"/>
      <c r="X39" s="435">
        <v>2</v>
      </c>
      <c r="Y39" s="435">
        <v>2</v>
      </c>
      <c r="Z39" s="38"/>
      <c r="AA39" s="38"/>
      <c r="AB39" s="38"/>
      <c r="AC39" s="70"/>
    </row>
    <row r="40" spans="2:29" ht="16" thickBot="1">
      <c r="B40" s="19"/>
      <c r="C40" s="991"/>
      <c r="D40" s="129" t="s">
        <v>51</v>
      </c>
      <c r="E40" s="130" t="s">
        <v>52</v>
      </c>
      <c r="F40" s="131">
        <v>3</v>
      </c>
      <c r="G40" s="132">
        <v>64</v>
      </c>
      <c r="H40" s="92"/>
      <c r="I40" s="93"/>
      <c r="J40" s="93"/>
      <c r="K40" s="93"/>
      <c r="L40" s="133"/>
      <c r="M40" s="36"/>
      <c r="N40" s="92">
        <v>3</v>
      </c>
      <c r="O40" s="93">
        <v>2</v>
      </c>
      <c r="P40" s="93">
        <v>3</v>
      </c>
      <c r="Q40" s="93">
        <v>3</v>
      </c>
      <c r="R40" s="93">
        <v>3</v>
      </c>
      <c r="S40" s="93">
        <v>3</v>
      </c>
      <c r="T40" s="93">
        <v>3</v>
      </c>
      <c r="U40" s="94">
        <v>2</v>
      </c>
      <c r="V40" s="36"/>
      <c r="W40" s="49"/>
      <c r="X40" s="47"/>
      <c r="Y40" s="47"/>
      <c r="Z40" s="47"/>
      <c r="AA40" s="47"/>
      <c r="AB40" s="47"/>
      <c r="AC40" s="72"/>
    </row>
    <row r="41" spans="2:29" ht="16" thickBot="1">
      <c r="B41" s="19"/>
      <c r="C41" s="165" t="s">
        <v>114</v>
      </c>
      <c r="D41" s="73" t="s">
        <v>96</v>
      </c>
      <c r="E41" s="74" t="s">
        <v>97</v>
      </c>
      <c r="F41" s="75">
        <v>2</v>
      </c>
      <c r="G41" s="76">
        <v>16</v>
      </c>
      <c r="H41" s="169"/>
      <c r="I41" s="170"/>
      <c r="J41" s="170"/>
      <c r="K41" s="170"/>
      <c r="L41" s="171"/>
      <c r="M41" s="172"/>
      <c r="N41" s="169"/>
      <c r="O41" s="170"/>
      <c r="P41" s="170"/>
      <c r="Q41" s="170"/>
      <c r="R41" s="170"/>
      <c r="S41" s="170"/>
      <c r="T41" s="170"/>
      <c r="U41" s="173"/>
      <c r="V41" s="172"/>
      <c r="W41" s="81"/>
      <c r="X41" s="170"/>
      <c r="Y41" s="170"/>
      <c r="Z41" s="170"/>
      <c r="AA41" s="82"/>
      <c r="AB41" s="82"/>
      <c r="AC41" s="78"/>
    </row>
    <row r="42" spans="2:29">
      <c r="B42" s="19"/>
      <c r="C42" s="989" t="s">
        <v>115</v>
      </c>
      <c r="D42" s="416" t="s">
        <v>68</v>
      </c>
      <c r="E42" s="23" t="s">
        <v>116</v>
      </c>
      <c r="F42" s="11">
        <v>12</v>
      </c>
      <c r="G42" s="342">
        <v>180</v>
      </c>
      <c r="H42" s="46"/>
      <c r="I42" s="61"/>
      <c r="J42" s="61"/>
      <c r="K42" s="61"/>
      <c r="L42" s="62"/>
      <c r="M42" s="36"/>
      <c r="N42" s="389">
        <v>2</v>
      </c>
      <c r="O42" s="61">
        <v>3</v>
      </c>
      <c r="P42" s="61">
        <v>3</v>
      </c>
      <c r="Q42" s="61"/>
      <c r="R42" s="61"/>
      <c r="S42" s="61">
        <v>2</v>
      </c>
      <c r="T42" s="61"/>
      <c r="U42" s="45"/>
      <c r="V42" s="36"/>
      <c r="W42" s="46"/>
      <c r="X42" s="388">
        <v>2</v>
      </c>
      <c r="Y42" s="388">
        <v>2</v>
      </c>
      <c r="Z42" s="388">
        <v>2</v>
      </c>
      <c r="AA42" s="388"/>
      <c r="AB42" s="388">
        <v>2</v>
      </c>
      <c r="AC42" s="69"/>
    </row>
    <row r="43" spans="2:29">
      <c r="B43" s="19"/>
      <c r="C43" s="990"/>
      <c r="D43" s="13" t="s">
        <v>72</v>
      </c>
      <c r="E43" s="24" t="s">
        <v>116</v>
      </c>
      <c r="F43" s="3">
        <v>12</v>
      </c>
      <c r="G43" s="31">
        <v>180</v>
      </c>
      <c r="H43" s="37"/>
      <c r="I43" s="38"/>
      <c r="J43" s="38"/>
      <c r="K43" s="38"/>
      <c r="L43" s="58"/>
      <c r="M43" s="36"/>
      <c r="N43" s="37"/>
      <c r="O43" s="38"/>
      <c r="P43" s="38"/>
      <c r="Q43" s="38">
        <v>3</v>
      </c>
      <c r="R43" s="38">
        <v>3</v>
      </c>
      <c r="S43" s="38"/>
      <c r="T43" s="38">
        <v>3</v>
      </c>
      <c r="U43" s="39"/>
      <c r="V43" s="36"/>
      <c r="W43" s="37"/>
      <c r="X43" s="38"/>
      <c r="Y43" s="38"/>
      <c r="Z43" s="38"/>
      <c r="AA43" s="38"/>
      <c r="AB43" s="38"/>
      <c r="AC43" s="70"/>
    </row>
    <row r="44" spans="2:29">
      <c r="B44" s="19"/>
      <c r="C44" s="990"/>
      <c r="D44" s="426" t="s">
        <v>69</v>
      </c>
      <c r="E44" s="24" t="s">
        <v>116</v>
      </c>
      <c r="F44" s="3">
        <v>12</v>
      </c>
      <c r="G44" s="31">
        <v>180</v>
      </c>
      <c r="H44" s="200"/>
      <c r="I44" s="201"/>
      <c r="J44" s="201"/>
      <c r="K44" s="201"/>
      <c r="L44" s="202"/>
      <c r="M44" s="186"/>
      <c r="N44" s="200">
        <v>3</v>
      </c>
      <c r="O44" s="201">
        <v>3</v>
      </c>
      <c r="P44" s="201"/>
      <c r="Q44" s="201"/>
      <c r="R44" s="201"/>
      <c r="S44" s="201"/>
      <c r="T44" s="201"/>
      <c r="U44" s="203"/>
      <c r="V44" s="186"/>
      <c r="W44" s="200"/>
      <c r="X44" s="435">
        <v>2</v>
      </c>
      <c r="Y44" s="435">
        <v>2</v>
      </c>
      <c r="Z44" s="201"/>
      <c r="AA44" s="201"/>
      <c r="AB44" s="201"/>
      <c r="AC44" s="213"/>
    </row>
    <row r="45" spans="2:29">
      <c r="B45" s="19"/>
      <c r="C45" s="990"/>
      <c r="D45" s="426" t="s">
        <v>73</v>
      </c>
      <c r="E45" s="24" t="s">
        <v>116</v>
      </c>
      <c r="F45" s="3">
        <v>12</v>
      </c>
      <c r="G45" s="31">
        <v>180</v>
      </c>
      <c r="H45" s="200"/>
      <c r="I45" s="201"/>
      <c r="J45" s="201"/>
      <c r="K45" s="201"/>
      <c r="L45" s="202"/>
      <c r="M45" s="186"/>
      <c r="N45" s="200"/>
      <c r="O45" s="201"/>
      <c r="P45" s="558">
        <v>2</v>
      </c>
      <c r="Q45" s="558">
        <v>3</v>
      </c>
      <c r="R45" s="201"/>
      <c r="S45" s="201">
        <v>3</v>
      </c>
      <c r="T45" s="201">
        <v>3</v>
      </c>
      <c r="U45" s="203">
        <v>2</v>
      </c>
      <c r="V45" s="186"/>
      <c r="W45" s="200"/>
      <c r="X45" s="201"/>
      <c r="Y45" s="201"/>
      <c r="Z45" s="201"/>
      <c r="AA45" s="201"/>
      <c r="AB45" s="201"/>
      <c r="AC45" s="213"/>
    </row>
    <row r="46" spans="2:29" s="468" customFormat="1">
      <c r="B46" s="19"/>
      <c r="C46" s="990"/>
      <c r="D46" s="546" t="s">
        <v>1014</v>
      </c>
      <c r="E46" s="547" t="s">
        <v>116</v>
      </c>
      <c r="F46" s="548">
        <v>12</v>
      </c>
      <c r="G46" s="549">
        <v>180</v>
      </c>
      <c r="H46" s="541"/>
      <c r="I46" s="542"/>
      <c r="J46" s="542"/>
      <c r="K46" s="542"/>
      <c r="L46" s="543"/>
      <c r="M46" s="186"/>
      <c r="N46" s="559">
        <v>1</v>
      </c>
      <c r="O46" s="542"/>
      <c r="P46" s="560">
        <v>3</v>
      </c>
      <c r="Q46" s="560"/>
      <c r="R46" s="560">
        <v>3</v>
      </c>
      <c r="S46" s="560">
        <v>3</v>
      </c>
      <c r="T46" s="542"/>
      <c r="U46" s="544"/>
      <c r="V46" s="186"/>
      <c r="W46" s="541"/>
      <c r="X46" s="542"/>
      <c r="Y46" s="542"/>
      <c r="Z46" s="542"/>
      <c r="AA46" s="542"/>
      <c r="AB46" s="542"/>
      <c r="AC46" s="545"/>
    </row>
    <row r="47" spans="2:29" ht="16" thickBot="1">
      <c r="B47" s="20"/>
      <c r="C47" s="991"/>
      <c r="D47" s="51" t="s">
        <v>451</v>
      </c>
      <c r="E47" s="25" t="s">
        <v>116</v>
      </c>
      <c r="F47" s="15">
        <v>12</v>
      </c>
      <c r="G47" s="343">
        <v>180</v>
      </c>
      <c r="H47" s="192"/>
      <c r="I47" s="193"/>
      <c r="J47" s="193"/>
      <c r="K47" s="193"/>
      <c r="L47" s="194"/>
      <c r="M47" s="186"/>
      <c r="N47" s="192">
        <v>3</v>
      </c>
      <c r="O47" s="193"/>
      <c r="P47" s="193">
        <v>2</v>
      </c>
      <c r="Q47" s="193">
        <v>2</v>
      </c>
      <c r="R47" s="193">
        <v>3</v>
      </c>
      <c r="S47" s="193"/>
      <c r="T47" s="195"/>
      <c r="U47" s="196"/>
      <c r="V47" s="186"/>
      <c r="W47" s="192"/>
      <c r="X47" s="193"/>
      <c r="Y47" s="193"/>
      <c r="Z47" s="193"/>
      <c r="AA47" s="193"/>
      <c r="AB47" s="193"/>
      <c r="AC47" s="199"/>
    </row>
    <row r="48" spans="2:29" ht="5" customHeight="1" thickBot="1">
      <c r="H48" s="43"/>
      <c r="I48" s="43"/>
      <c r="J48" s="43"/>
      <c r="K48" s="43"/>
      <c r="L48" s="60"/>
      <c r="M48" s="36"/>
      <c r="N48" s="43"/>
      <c r="O48" s="43"/>
      <c r="P48" s="43"/>
      <c r="Q48" s="43"/>
      <c r="R48" s="43"/>
      <c r="S48" s="43"/>
      <c r="T48" s="43"/>
      <c r="U48" s="43"/>
      <c r="V48" s="36"/>
      <c r="W48" s="43"/>
      <c r="X48" s="43"/>
      <c r="Y48" s="43"/>
      <c r="Z48" s="43"/>
      <c r="AA48" s="43"/>
      <c r="AB48" s="43"/>
    </row>
    <row r="49" spans="1:29" ht="16" thickBot="1">
      <c r="B49" s="21" t="s">
        <v>119</v>
      </c>
      <c r="C49" s="65" t="s">
        <v>120</v>
      </c>
      <c r="D49" s="177" t="s">
        <v>121</v>
      </c>
      <c r="E49" s="74" t="s">
        <v>122</v>
      </c>
      <c r="F49" s="75">
        <v>6</v>
      </c>
      <c r="G49" s="76">
        <v>96</v>
      </c>
      <c r="H49" s="81" t="s">
        <v>81</v>
      </c>
      <c r="I49" s="82" t="s">
        <v>81</v>
      </c>
      <c r="J49" s="82" t="s">
        <v>81</v>
      </c>
      <c r="K49" s="82" t="s">
        <v>81</v>
      </c>
      <c r="L49" s="83" t="s">
        <v>81</v>
      </c>
      <c r="M49" s="84"/>
      <c r="N49" s="81" t="s">
        <v>81</v>
      </c>
      <c r="O49" s="82" t="s">
        <v>81</v>
      </c>
      <c r="P49" s="82" t="s">
        <v>81</v>
      </c>
      <c r="Q49" s="82" t="s">
        <v>81</v>
      </c>
      <c r="R49" s="82" t="s">
        <v>81</v>
      </c>
      <c r="S49" s="82" t="s">
        <v>81</v>
      </c>
      <c r="T49" s="82" t="s">
        <v>81</v>
      </c>
      <c r="U49" s="85" t="s">
        <v>81</v>
      </c>
      <c r="V49" s="84"/>
      <c r="W49" s="344"/>
      <c r="X49" s="340"/>
      <c r="Y49" s="340"/>
      <c r="Z49" s="340"/>
      <c r="AA49" s="340"/>
      <c r="AB49" s="340"/>
      <c r="AC49" s="346"/>
    </row>
    <row r="50" spans="1:29" ht="16" thickBot="1">
      <c r="B50" s="178" t="s">
        <v>118</v>
      </c>
      <c r="C50" s="65" t="s">
        <v>117</v>
      </c>
      <c r="D50" s="158" t="s">
        <v>53</v>
      </c>
      <c r="E50" s="176" t="s">
        <v>54</v>
      </c>
      <c r="F50" s="153">
        <v>21</v>
      </c>
      <c r="G50" s="154">
        <v>15</v>
      </c>
      <c r="H50" s="81" t="s">
        <v>81</v>
      </c>
      <c r="I50" s="82" t="s">
        <v>81</v>
      </c>
      <c r="J50" s="82" t="s">
        <v>81</v>
      </c>
      <c r="K50" s="82" t="s">
        <v>81</v>
      </c>
      <c r="L50" s="83" t="s">
        <v>81</v>
      </c>
      <c r="M50" s="84"/>
      <c r="N50" s="81" t="s">
        <v>81</v>
      </c>
      <c r="O50" s="82" t="s">
        <v>81</v>
      </c>
      <c r="P50" s="82" t="s">
        <v>81</v>
      </c>
      <c r="Q50" s="82" t="s">
        <v>81</v>
      </c>
      <c r="R50" s="82" t="s">
        <v>81</v>
      </c>
      <c r="S50" s="82" t="s">
        <v>81</v>
      </c>
      <c r="T50" s="82" t="s">
        <v>81</v>
      </c>
      <c r="U50" s="85" t="s">
        <v>81</v>
      </c>
      <c r="V50" s="84"/>
      <c r="W50" s="345"/>
      <c r="X50" s="341"/>
      <c r="Y50" s="341"/>
      <c r="Z50" s="341"/>
      <c r="AA50" s="341"/>
      <c r="AB50" s="341"/>
      <c r="AC50" s="347"/>
    </row>
    <row r="51" spans="1:29" ht="5" customHeight="1">
      <c r="H51" s="43"/>
      <c r="I51" s="43"/>
      <c r="J51" s="43"/>
      <c r="K51" s="43"/>
      <c r="L51" s="60"/>
      <c r="M51" s="36"/>
      <c r="N51" s="43"/>
      <c r="O51" s="43"/>
      <c r="P51" s="43"/>
      <c r="Q51" s="43"/>
      <c r="R51" s="43"/>
      <c r="S51" s="43"/>
      <c r="T51" s="43"/>
      <c r="U51" s="43"/>
      <c r="V51" s="36"/>
      <c r="W51" s="43"/>
      <c r="X51" s="43"/>
      <c r="Y51" s="43"/>
      <c r="Z51" s="43"/>
      <c r="AA51" s="43"/>
      <c r="AB51" s="43"/>
    </row>
    <row r="52" spans="1:29" ht="15" customHeight="1" thickBot="1">
      <c r="A52" s="4"/>
      <c r="E52" s="1"/>
      <c r="F52" s="1"/>
      <c r="G52" s="1"/>
      <c r="L52" s="1"/>
      <c r="M52" s="1"/>
      <c r="U52" s="1"/>
      <c r="V52" s="1"/>
    </row>
    <row r="53" spans="1:29" ht="16" thickBot="1">
      <c r="A53" s="4"/>
      <c r="B53" s="1020" t="s">
        <v>98</v>
      </c>
      <c r="C53" s="1021"/>
      <c r="D53" s="1021"/>
      <c r="E53" s="1021"/>
      <c r="F53" s="1021"/>
      <c r="G53" s="1022"/>
      <c r="H53" s="73"/>
      <c r="I53" s="77"/>
      <c r="J53" s="77"/>
      <c r="K53" s="77"/>
      <c r="L53" s="89"/>
      <c r="N53" s="73"/>
      <c r="O53" s="77"/>
      <c r="P53" s="77"/>
      <c r="Q53" s="77"/>
      <c r="R53" s="77"/>
      <c r="S53" s="77"/>
      <c r="T53" s="77"/>
      <c r="U53" s="78"/>
      <c r="W53" s="73"/>
      <c r="X53" s="77"/>
      <c r="Y53" s="135"/>
      <c r="Z53" s="135"/>
      <c r="AA53" s="135"/>
      <c r="AB53" s="135"/>
      <c r="AC53" s="137"/>
    </row>
    <row r="54" spans="1:29">
      <c r="A54" s="4"/>
      <c r="E54" s="1"/>
      <c r="F54" s="1"/>
      <c r="G54" s="1"/>
      <c r="L54" s="1"/>
      <c r="M54" s="1"/>
      <c r="U54" s="1"/>
      <c r="V54" s="1"/>
    </row>
    <row r="55" spans="1:29">
      <c r="A55" s="4"/>
      <c r="B55" s="179" t="s">
        <v>82</v>
      </c>
      <c r="E55" s="1"/>
      <c r="F55" s="1"/>
      <c r="G55" s="1"/>
      <c r="L55" s="1"/>
      <c r="M55" s="1"/>
      <c r="U55" s="1"/>
      <c r="V55" s="1"/>
    </row>
    <row r="56" spans="1:29">
      <c r="A56" s="4"/>
      <c r="E56" s="1"/>
      <c r="F56" s="1"/>
      <c r="G56" s="1"/>
      <c r="L56" s="1"/>
      <c r="M56" s="1"/>
      <c r="U56" s="1"/>
      <c r="V56" s="1"/>
    </row>
    <row r="57" spans="1:29" ht="21">
      <c r="B57" s="334" t="s">
        <v>481</v>
      </c>
      <c r="U57" s="1"/>
    </row>
    <row r="58" spans="1:29" ht="15.75" customHeight="1">
      <c r="B58" s="333" t="s">
        <v>482</v>
      </c>
      <c r="C58" s="1"/>
      <c r="E58" s="1"/>
      <c r="F58" s="1"/>
      <c r="G58" s="1"/>
      <c r="L58" s="1"/>
      <c r="M58" s="1"/>
      <c r="U58" s="1"/>
      <c r="V58" s="1"/>
    </row>
    <row r="59" spans="1:29" ht="21">
      <c r="B59" s="333" t="s">
        <v>483</v>
      </c>
      <c r="U59" s="1"/>
    </row>
    <row r="60" spans="1:29" ht="21">
      <c r="B60" s="333" t="s">
        <v>484</v>
      </c>
      <c r="U60" s="1"/>
    </row>
    <row r="61" spans="1:29" ht="21">
      <c r="B61" s="333" t="s">
        <v>485</v>
      </c>
      <c r="C61" s="91"/>
    </row>
    <row r="62" spans="1:29" ht="21">
      <c r="B62" s="333" t="s">
        <v>486</v>
      </c>
    </row>
    <row r="63" spans="1:29" ht="21">
      <c r="B63" s="333" t="s">
        <v>819</v>
      </c>
    </row>
    <row r="64" spans="1:29" ht="21">
      <c r="B64" s="333" t="s">
        <v>820</v>
      </c>
      <c r="H64" s="79"/>
    </row>
    <row r="65" spans="2:2" ht="21">
      <c r="B65" s="333" t="s">
        <v>821</v>
      </c>
    </row>
  </sheetData>
  <mergeCells count="38">
    <mergeCell ref="X32:X33"/>
    <mergeCell ref="P32:P33"/>
    <mergeCell ref="B53:G53"/>
    <mergeCell ref="W3:AC3"/>
    <mergeCell ref="AC32:AC33"/>
    <mergeCell ref="C35:C37"/>
    <mergeCell ref="C38:C40"/>
    <mergeCell ref="C42:C47"/>
    <mergeCell ref="Y32:Y33"/>
    <mergeCell ref="Z32:Z33"/>
    <mergeCell ref="AA32:AA33"/>
    <mergeCell ref="AB32:AB33"/>
    <mergeCell ref="R32:R33"/>
    <mergeCell ref="S32:S33"/>
    <mergeCell ref="T32:T33"/>
    <mergeCell ref="U32:U33"/>
    <mergeCell ref="W32:W33"/>
    <mergeCell ref="J32:J33"/>
    <mergeCell ref="K32:K33"/>
    <mergeCell ref="L32:L33"/>
    <mergeCell ref="N32:N33"/>
    <mergeCell ref="O32:O33"/>
    <mergeCell ref="D32:D33"/>
    <mergeCell ref="H3:L3"/>
    <mergeCell ref="N3:U3"/>
    <mergeCell ref="C6:C8"/>
    <mergeCell ref="C9:C11"/>
    <mergeCell ref="C14:C16"/>
    <mergeCell ref="C17:C19"/>
    <mergeCell ref="C22:C25"/>
    <mergeCell ref="C26:C29"/>
    <mergeCell ref="C32:C33"/>
    <mergeCell ref="Q32:Q33"/>
    <mergeCell ref="E32:E33"/>
    <mergeCell ref="F32:F33"/>
    <mergeCell ref="G32:G33"/>
    <mergeCell ref="H32:H33"/>
    <mergeCell ref="I32:I33"/>
  </mergeCells>
  <pageMargins left="0.25" right="0.25" top="0.75" bottom="0.75" header="0.3" footer="0.3"/>
  <pageSetup paperSize="8" scale="57" orientation="landscape"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2">
    <pageSetUpPr fitToPage="1"/>
  </sheetPr>
  <dimension ref="A2:AH63"/>
  <sheetViews>
    <sheetView topLeftCell="A55" zoomScale="80" zoomScaleNormal="80" workbookViewId="0">
      <selection activeCell="I4" sqref="I4"/>
    </sheetView>
  </sheetViews>
  <sheetFormatPr baseColWidth="10" defaultColWidth="11.5" defaultRowHeight="15"/>
  <cols>
    <col min="1" max="1" width="18.83203125" style="1" customWidth="1"/>
    <col min="2" max="2" width="15.1640625" style="17" bestFit="1" customWidth="1"/>
    <col min="3" max="3" width="6.5" style="17" customWidth="1"/>
    <col min="4" max="4" width="56.5" style="1" bestFit="1" customWidth="1"/>
    <col min="5" max="5" width="7.5" style="22" customWidth="1"/>
    <col min="6" max="6" width="8.5" style="2" customWidth="1"/>
    <col min="7" max="7" width="6.83203125" style="29" customWidth="1"/>
    <col min="8" max="8" width="4.6640625" style="1" customWidth="1"/>
    <col min="9" max="9" width="6.6640625" style="1" customWidth="1"/>
    <col min="10" max="11" width="4.6640625" style="1" customWidth="1"/>
    <col min="12" max="12" width="6.6640625" style="55" customWidth="1"/>
    <col min="13" max="13" width="1" style="5" customWidth="1"/>
    <col min="14" max="14" width="9.6640625" style="1" customWidth="1"/>
    <col min="15" max="15" width="6.6640625" style="1" customWidth="1"/>
    <col min="16" max="16" width="9.6640625" style="1" customWidth="1"/>
    <col min="17" max="17" width="9.5" style="1" bestFit="1" customWidth="1"/>
    <col min="18" max="18" width="9.6640625" style="1" customWidth="1"/>
    <col min="19" max="20" width="6.6640625" style="1" customWidth="1"/>
    <col min="21" max="21" width="6.6640625" customWidth="1"/>
    <col min="22" max="22" width="1" style="5" customWidth="1"/>
    <col min="23" max="23" width="6.6640625" style="1" customWidth="1"/>
    <col min="24" max="24" width="6.6640625" style="1" bestFit="1" customWidth="1"/>
    <col min="25" max="25" width="3.83203125" style="1" bestFit="1" customWidth="1"/>
    <col min="26" max="26" width="6.6640625" style="1" bestFit="1" customWidth="1"/>
    <col min="27" max="27" width="6.6640625" style="1" customWidth="1"/>
    <col min="28" max="28" width="4.6640625" style="1" customWidth="1"/>
    <col min="29" max="29" width="1.33203125" style="1" customWidth="1"/>
    <col min="30" max="30" width="6.6640625" bestFit="1" customWidth="1"/>
    <col min="31" max="31" width="3.83203125" style="1" bestFit="1" customWidth="1"/>
    <col min="32" max="32" width="3.83203125" style="1" customWidth="1"/>
    <col min="33" max="33" width="4.1640625" style="1" bestFit="1" customWidth="1"/>
    <col min="34" max="34" width="5" style="1" customWidth="1"/>
    <col min="35" max="16384" width="11.5" style="1"/>
  </cols>
  <sheetData>
    <row r="2" spans="2:34" ht="25" thickBot="1">
      <c r="D2" s="447" t="s">
        <v>751</v>
      </c>
    </row>
    <row r="3" spans="2:34" ht="53.25" customHeight="1" thickBot="1">
      <c r="D3" s="222" t="s">
        <v>123</v>
      </c>
      <c r="H3" s="1101" t="s">
        <v>66</v>
      </c>
      <c r="I3" s="1102"/>
      <c r="J3" s="1102"/>
      <c r="K3" s="1102"/>
      <c r="L3" s="1103"/>
      <c r="N3" s="1104" t="s">
        <v>67</v>
      </c>
      <c r="O3" s="1105"/>
      <c r="P3" s="1105"/>
      <c r="Q3" s="1105"/>
      <c r="R3" s="1105"/>
      <c r="S3" s="1105"/>
      <c r="T3" s="1105"/>
      <c r="U3" s="1106"/>
      <c r="W3" s="1126" t="s">
        <v>79</v>
      </c>
      <c r="X3" s="1127"/>
      <c r="Y3" s="1127"/>
      <c r="Z3" s="1127"/>
      <c r="AA3" s="1127"/>
      <c r="AB3" s="1128"/>
      <c r="AD3" s="1129" t="s">
        <v>78</v>
      </c>
      <c r="AE3" s="1130"/>
      <c r="AF3" s="1130"/>
      <c r="AG3" s="1130"/>
      <c r="AH3" s="1131"/>
    </row>
    <row r="4" spans="2:34" ht="313.5" customHeight="1" thickBot="1">
      <c r="D4" s="90" t="s">
        <v>83</v>
      </c>
      <c r="H4" s="53" t="s">
        <v>57</v>
      </c>
      <c r="I4" s="52" t="s">
        <v>70</v>
      </c>
      <c r="J4" s="54" t="s">
        <v>56</v>
      </c>
      <c r="K4" s="54" t="s">
        <v>63</v>
      </c>
      <c r="L4" s="56" t="s">
        <v>80</v>
      </c>
      <c r="N4" s="6" t="s">
        <v>480</v>
      </c>
      <c r="O4" s="7" t="s">
        <v>476</v>
      </c>
      <c r="P4" s="7" t="s">
        <v>477</v>
      </c>
      <c r="Q4" s="7" t="s">
        <v>124</v>
      </c>
      <c r="R4" s="7" t="s">
        <v>64</v>
      </c>
      <c r="S4" s="7" t="s">
        <v>478</v>
      </c>
      <c r="T4" s="7" t="s">
        <v>71</v>
      </c>
      <c r="U4" s="8" t="s">
        <v>479</v>
      </c>
      <c r="W4" s="26" t="s">
        <v>90</v>
      </c>
      <c r="X4" s="9" t="s">
        <v>91</v>
      </c>
      <c r="Y4" s="27" t="s">
        <v>92</v>
      </c>
      <c r="Z4" s="27" t="s">
        <v>77</v>
      </c>
      <c r="AA4" s="114" t="s">
        <v>93</v>
      </c>
      <c r="AB4" s="28" t="s">
        <v>65</v>
      </c>
      <c r="AD4" s="63" t="s">
        <v>74</v>
      </c>
      <c r="AE4" s="27" t="s">
        <v>94</v>
      </c>
      <c r="AF4" s="27" t="s">
        <v>76</v>
      </c>
      <c r="AG4" s="64" t="s">
        <v>75</v>
      </c>
      <c r="AH4" s="118" t="s">
        <v>95</v>
      </c>
    </row>
    <row r="5" spans="2:34" ht="16" thickBot="1">
      <c r="F5" s="97" t="s">
        <v>55</v>
      </c>
      <c r="G5" s="98" t="s">
        <v>62</v>
      </c>
    </row>
    <row r="6" spans="2:34" ht="15" customHeight="1">
      <c r="B6" s="99" t="s">
        <v>105</v>
      </c>
      <c r="C6" s="989" t="s">
        <v>99</v>
      </c>
      <c r="D6" s="10" t="s">
        <v>4</v>
      </c>
      <c r="E6" s="23" t="s">
        <v>3</v>
      </c>
      <c r="F6" s="11">
        <v>5</v>
      </c>
      <c r="G6" s="110">
        <v>66</v>
      </c>
      <c r="H6" s="46">
        <v>2</v>
      </c>
      <c r="I6" s="61">
        <v>2</v>
      </c>
      <c r="J6" s="61"/>
      <c r="K6" s="61">
        <v>1</v>
      </c>
      <c r="L6" s="62">
        <v>1</v>
      </c>
      <c r="M6" s="148"/>
      <c r="N6" s="46"/>
      <c r="O6" s="61"/>
      <c r="P6" s="61"/>
      <c r="Q6" s="61">
        <v>1</v>
      </c>
      <c r="R6" s="61"/>
      <c r="S6" s="61">
        <v>2</v>
      </c>
      <c r="T6" s="61">
        <v>1</v>
      </c>
      <c r="U6" s="45"/>
      <c r="V6" s="148"/>
      <c r="W6" s="46"/>
      <c r="X6" s="61"/>
      <c r="Y6" s="61"/>
      <c r="Z6" s="61"/>
      <c r="AA6" s="115"/>
      <c r="AB6" s="45"/>
      <c r="AC6" s="149"/>
      <c r="AD6" s="67"/>
      <c r="AE6" s="68"/>
      <c r="AF6" s="68"/>
      <c r="AG6" s="68"/>
      <c r="AH6" s="69"/>
    </row>
    <row r="7" spans="2:34" ht="15" customHeight="1">
      <c r="B7" s="100" t="s">
        <v>58</v>
      </c>
      <c r="C7" s="990"/>
      <c r="D7" s="12" t="s">
        <v>7</v>
      </c>
      <c r="E7" s="24" t="s">
        <v>8</v>
      </c>
      <c r="F7" s="3">
        <v>2</v>
      </c>
      <c r="G7" s="31">
        <v>31</v>
      </c>
      <c r="H7" s="200">
        <v>1</v>
      </c>
      <c r="I7" s="201">
        <v>2</v>
      </c>
      <c r="J7" s="201"/>
      <c r="K7" s="214">
        <v>2</v>
      </c>
      <c r="L7" s="202">
        <v>2</v>
      </c>
      <c r="M7" s="186"/>
      <c r="N7" s="200">
        <v>2</v>
      </c>
      <c r="O7" s="201">
        <v>2</v>
      </c>
      <c r="P7" s="201">
        <v>1</v>
      </c>
      <c r="Q7" s="201"/>
      <c r="R7" s="201">
        <v>1</v>
      </c>
      <c r="S7" s="201"/>
      <c r="T7" s="201"/>
      <c r="U7" s="203"/>
      <c r="V7" s="186"/>
      <c r="W7" s="200"/>
      <c r="X7" s="201"/>
      <c r="Y7" s="201"/>
      <c r="Z7" s="201"/>
      <c r="AA7" s="204"/>
      <c r="AB7" s="203"/>
      <c r="AC7" s="205"/>
      <c r="AD7" s="200"/>
      <c r="AE7" s="210"/>
      <c r="AF7" s="210"/>
      <c r="AG7" s="210"/>
      <c r="AH7" s="213"/>
    </row>
    <row r="8" spans="2:34" ht="15" customHeight="1" thickBot="1">
      <c r="B8" s="100"/>
      <c r="C8" s="991"/>
      <c r="D8" s="14" t="s">
        <v>10</v>
      </c>
      <c r="E8" s="25" t="s">
        <v>11</v>
      </c>
      <c r="F8" s="15">
        <v>4</v>
      </c>
      <c r="G8" s="111">
        <v>58</v>
      </c>
      <c r="H8" s="49">
        <v>2</v>
      </c>
      <c r="I8" s="47">
        <v>2</v>
      </c>
      <c r="J8" s="47"/>
      <c r="K8" s="47"/>
      <c r="L8" s="59">
        <v>1</v>
      </c>
      <c r="M8" s="150"/>
      <c r="N8" s="49"/>
      <c r="O8" s="47"/>
      <c r="P8" s="47"/>
      <c r="Q8" s="47">
        <v>2</v>
      </c>
      <c r="R8" s="47"/>
      <c r="S8" s="47"/>
      <c r="T8" s="47">
        <v>1</v>
      </c>
      <c r="U8" s="48"/>
      <c r="V8" s="150"/>
      <c r="W8" s="49"/>
      <c r="X8" s="47">
        <v>1</v>
      </c>
      <c r="Y8" s="47"/>
      <c r="Z8" s="47"/>
      <c r="AA8" s="117"/>
      <c r="AB8" s="48"/>
      <c r="AC8" s="151"/>
      <c r="AD8" s="49"/>
      <c r="AE8" s="71"/>
      <c r="AF8" s="71"/>
      <c r="AG8" s="71"/>
      <c r="AH8" s="72"/>
    </row>
    <row r="9" spans="2:34">
      <c r="B9" s="100"/>
      <c r="C9" s="989" t="s">
        <v>100</v>
      </c>
      <c r="D9" s="16" t="s">
        <v>2</v>
      </c>
      <c r="E9" s="23" t="s">
        <v>5</v>
      </c>
      <c r="F9" s="11">
        <v>5</v>
      </c>
      <c r="G9" s="110">
        <v>60</v>
      </c>
      <c r="H9" s="46">
        <v>2</v>
      </c>
      <c r="I9" s="61">
        <v>2</v>
      </c>
      <c r="J9" s="61">
        <v>1</v>
      </c>
      <c r="K9" s="61">
        <v>1</v>
      </c>
      <c r="L9" s="62"/>
      <c r="M9" s="148"/>
      <c r="N9" s="46">
        <v>1</v>
      </c>
      <c r="O9" s="61">
        <v>2</v>
      </c>
      <c r="P9" s="61">
        <v>1</v>
      </c>
      <c r="Q9" s="61"/>
      <c r="R9" s="61"/>
      <c r="S9" s="61"/>
      <c r="T9" s="61"/>
      <c r="U9" s="45"/>
      <c r="V9" s="148"/>
      <c r="W9" s="46"/>
      <c r="X9" s="61"/>
      <c r="Y9" s="61"/>
      <c r="Z9" s="61"/>
      <c r="AA9" s="115"/>
      <c r="AB9" s="45"/>
      <c r="AC9" s="149"/>
      <c r="AD9" s="46">
        <v>1</v>
      </c>
      <c r="AE9" s="68"/>
      <c r="AF9" s="68"/>
      <c r="AG9" s="68"/>
      <c r="AH9" s="69"/>
    </row>
    <row r="10" spans="2:34">
      <c r="B10" s="100"/>
      <c r="C10" s="990"/>
      <c r="D10" s="13" t="s">
        <v>0</v>
      </c>
      <c r="E10" s="24" t="s">
        <v>6</v>
      </c>
      <c r="F10" s="3">
        <v>5</v>
      </c>
      <c r="G10" s="139">
        <v>72</v>
      </c>
      <c r="H10" s="37">
        <v>2</v>
      </c>
      <c r="I10" s="38">
        <v>2</v>
      </c>
      <c r="J10" s="38">
        <v>1</v>
      </c>
      <c r="K10" s="38">
        <v>1</v>
      </c>
      <c r="L10" s="58">
        <v>1</v>
      </c>
      <c r="M10" s="36"/>
      <c r="N10" s="37">
        <v>2</v>
      </c>
      <c r="O10" s="38">
        <v>1</v>
      </c>
      <c r="P10" s="38"/>
      <c r="Q10" s="38"/>
      <c r="R10" s="38"/>
      <c r="S10" s="38"/>
      <c r="T10" s="38"/>
      <c r="U10" s="39"/>
      <c r="V10" s="36"/>
      <c r="W10" s="37"/>
      <c r="X10" s="38"/>
      <c r="Y10" s="38"/>
      <c r="Z10" s="38"/>
      <c r="AA10" s="116"/>
      <c r="AB10" s="39"/>
      <c r="AC10" s="5"/>
      <c r="AD10" s="37"/>
      <c r="AE10" s="66"/>
      <c r="AF10" s="124">
        <v>1</v>
      </c>
      <c r="AG10" s="66"/>
      <c r="AH10" s="70"/>
    </row>
    <row r="11" spans="2:34" ht="16" thickBot="1">
      <c r="B11" s="100"/>
      <c r="C11" s="991"/>
      <c r="D11" s="14" t="s">
        <v>9</v>
      </c>
      <c r="E11" s="25" t="s">
        <v>1</v>
      </c>
      <c r="F11" s="15">
        <v>4</v>
      </c>
      <c r="G11" s="111">
        <v>59</v>
      </c>
      <c r="H11" s="49">
        <v>1</v>
      </c>
      <c r="I11" s="47">
        <v>1</v>
      </c>
      <c r="J11" s="47">
        <v>1</v>
      </c>
      <c r="K11" s="47"/>
      <c r="L11" s="59">
        <v>2</v>
      </c>
      <c r="M11" s="150"/>
      <c r="N11" s="49"/>
      <c r="O11" s="47"/>
      <c r="P11" s="47"/>
      <c r="Q11" s="47"/>
      <c r="R11" s="47">
        <v>1</v>
      </c>
      <c r="S11" s="47"/>
      <c r="T11" s="47">
        <v>2</v>
      </c>
      <c r="U11" s="48"/>
      <c r="V11" s="150"/>
      <c r="W11" s="49">
        <v>1</v>
      </c>
      <c r="X11" s="47"/>
      <c r="Y11" s="47"/>
      <c r="Z11" s="47"/>
      <c r="AA11" s="117"/>
      <c r="AB11" s="48"/>
      <c r="AC11" s="151"/>
      <c r="AD11" s="49"/>
      <c r="AE11" s="119">
        <v>1</v>
      </c>
      <c r="AF11" s="119"/>
      <c r="AG11" s="119">
        <v>1</v>
      </c>
      <c r="AH11" s="72"/>
    </row>
    <row r="12" spans="2:34" ht="16" thickBot="1">
      <c r="B12" s="101"/>
      <c r="C12" s="146" t="s">
        <v>101</v>
      </c>
      <c r="D12" s="152" t="s">
        <v>84</v>
      </c>
      <c r="E12" s="153" t="s">
        <v>85</v>
      </c>
      <c r="F12" s="108">
        <v>2</v>
      </c>
      <c r="G12" s="154">
        <v>32</v>
      </c>
      <c r="H12" s="155">
        <v>2</v>
      </c>
      <c r="I12" s="156">
        <v>2</v>
      </c>
      <c r="J12" s="156">
        <v>2</v>
      </c>
      <c r="K12" s="156">
        <v>2</v>
      </c>
      <c r="L12" s="157"/>
      <c r="M12" s="1"/>
      <c r="N12" s="158"/>
      <c r="O12" s="159"/>
      <c r="P12" s="159"/>
      <c r="Q12" s="159"/>
      <c r="R12" s="159"/>
      <c r="S12" s="159"/>
      <c r="T12" s="159"/>
      <c r="U12" s="157"/>
      <c r="V12" s="36"/>
      <c r="W12" s="160">
        <v>2</v>
      </c>
      <c r="X12" s="156">
        <v>2</v>
      </c>
      <c r="Y12" s="156">
        <v>2</v>
      </c>
      <c r="Z12" s="161">
        <v>1</v>
      </c>
      <c r="AA12" s="162">
        <v>1</v>
      </c>
      <c r="AB12" s="163">
        <v>1</v>
      </c>
      <c r="AD12" s="160">
        <v>1</v>
      </c>
      <c r="AE12" s="156">
        <v>2</v>
      </c>
      <c r="AF12" s="156">
        <v>2</v>
      </c>
      <c r="AG12" s="156">
        <v>2</v>
      </c>
      <c r="AH12" s="164">
        <v>1</v>
      </c>
    </row>
    <row r="13" spans="2:34" ht="5" customHeight="1" thickBot="1">
      <c r="H13" s="43"/>
      <c r="I13" s="43"/>
      <c r="J13" s="43"/>
      <c r="K13" s="43"/>
      <c r="L13" s="60"/>
      <c r="M13" s="36"/>
      <c r="N13" s="43"/>
      <c r="O13" s="43"/>
      <c r="P13" s="43"/>
      <c r="Q13" s="43"/>
      <c r="R13" s="43"/>
      <c r="S13" s="43"/>
      <c r="T13" s="43"/>
      <c r="U13" s="43"/>
      <c r="V13" s="36"/>
      <c r="W13" s="43"/>
      <c r="X13" s="43"/>
      <c r="Y13" s="43"/>
      <c r="Z13" s="43"/>
      <c r="AA13" s="43"/>
      <c r="AB13" s="43"/>
      <c r="AD13" s="43"/>
      <c r="AE13" s="121"/>
      <c r="AF13" s="121"/>
      <c r="AG13" s="121"/>
      <c r="AH13" s="121"/>
    </row>
    <row r="14" spans="2:34" ht="15" customHeight="1">
      <c r="B14" s="99" t="s">
        <v>105</v>
      </c>
      <c r="C14" s="989" t="s">
        <v>102</v>
      </c>
      <c r="D14" s="10" t="s">
        <v>12</v>
      </c>
      <c r="E14" s="23" t="s">
        <v>13</v>
      </c>
      <c r="F14" s="11">
        <v>5</v>
      </c>
      <c r="G14" s="110">
        <v>72</v>
      </c>
      <c r="H14" s="46">
        <v>3</v>
      </c>
      <c r="I14" s="61">
        <v>2</v>
      </c>
      <c r="J14" s="61">
        <v>2</v>
      </c>
      <c r="K14" s="61">
        <v>2</v>
      </c>
      <c r="L14" s="62">
        <v>1</v>
      </c>
      <c r="M14" s="148"/>
      <c r="N14" s="46">
        <v>2</v>
      </c>
      <c r="O14" s="61"/>
      <c r="P14" s="61">
        <v>2</v>
      </c>
      <c r="Q14" s="61">
        <v>2</v>
      </c>
      <c r="R14" s="61">
        <v>2</v>
      </c>
      <c r="S14" s="61">
        <v>2</v>
      </c>
      <c r="T14" s="61"/>
      <c r="U14" s="45"/>
      <c r="V14" s="148"/>
      <c r="W14" s="46"/>
      <c r="X14" s="61"/>
      <c r="Y14" s="61"/>
      <c r="Z14" s="61"/>
      <c r="AA14" s="115"/>
      <c r="AB14" s="45"/>
      <c r="AC14" s="149"/>
      <c r="AD14" s="46">
        <v>2</v>
      </c>
      <c r="AE14" s="122">
        <v>1</v>
      </c>
      <c r="AF14" s="122">
        <v>1</v>
      </c>
      <c r="AG14" s="122">
        <v>1</v>
      </c>
      <c r="AH14" s="123"/>
    </row>
    <row r="15" spans="2:34" ht="15" customHeight="1">
      <c r="B15" s="100" t="s">
        <v>59</v>
      </c>
      <c r="C15" s="990"/>
      <c r="D15" s="13" t="s">
        <v>18</v>
      </c>
      <c r="E15" s="24" t="s">
        <v>19</v>
      </c>
      <c r="F15" s="3">
        <v>2</v>
      </c>
      <c r="G15" s="88">
        <v>32</v>
      </c>
      <c r="H15" s="200">
        <v>3</v>
      </c>
      <c r="I15" s="201">
        <v>2</v>
      </c>
      <c r="J15" s="201">
        <v>2</v>
      </c>
      <c r="K15" s="201">
        <v>1</v>
      </c>
      <c r="L15" s="202"/>
      <c r="M15" s="186"/>
      <c r="N15" s="200"/>
      <c r="O15" s="201">
        <v>2</v>
      </c>
      <c r="P15" s="201"/>
      <c r="Q15" s="201"/>
      <c r="R15" s="201"/>
      <c r="S15" s="201"/>
      <c r="T15" s="201"/>
      <c r="U15" s="203"/>
      <c r="V15" s="186"/>
      <c r="W15" s="200"/>
      <c r="X15" s="201"/>
      <c r="Y15" s="201"/>
      <c r="Z15" s="201"/>
      <c r="AA15" s="204"/>
      <c r="AB15" s="203"/>
      <c r="AC15" s="205"/>
      <c r="AD15" s="200"/>
      <c r="AE15" s="214"/>
      <c r="AF15" s="214"/>
      <c r="AG15" s="214"/>
      <c r="AH15" s="215"/>
    </row>
    <row r="16" spans="2:34" ht="16" thickBot="1">
      <c r="B16" s="100"/>
      <c r="C16" s="991"/>
      <c r="D16" s="14" t="s">
        <v>22</v>
      </c>
      <c r="E16" s="25" t="s">
        <v>23</v>
      </c>
      <c r="F16" s="15">
        <v>5</v>
      </c>
      <c r="G16" s="111">
        <v>58</v>
      </c>
      <c r="H16" s="49">
        <v>2</v>
      </c>
      <c r="I16" s="47">
        <v>2</v>
      </c>
      <c r="J16" s="47"/>
      <c r="K16" s="47"/>
      <c r="L16" s="59">
        <v>2</v>
      </c>
      <c r="M16" s="150"/>
      <c r="N16" s="49"/>
      <c r="O16" s="47"/>
      <c r="P16" s="47"/>
      <c r="Q16" s="47">
        <v>2</v>
      </c>
      <c r="R16" s="47"/>
      <c r="S16" s="47"/>
      <c r="T16" s="47">
        <v>1</v>
      </c>
      <c r="U16" s="48"/>
      <c r="V16" s="150"/>
      <c r="W16" s="49"/>
      <c r="X16" s="47"/>
      <c r="Y16" s="47"/>
      <c r="Z16" s="47"/>
      <c r="AA16" s="117"/>
      <c r="AB16" s="48"/>
      <c r="AC16" s="151"/>
      <c r="AD16" s="49"/>
      <c r="AE16" s="119"/>
      <c r="AF16" s="119"/>
      <c r="AG16" s="119"/>
      <c r="AH16" s="120"/>
    </row>
    <row r="17" spans="2:34">
      <c r="B17" s="100"/>
      <c r="C17" s="989" t="s">
        <v>103</v>
      </c>
      <c r="D17" s="10" t="s">
        <v>14</v>
      </c>
      <c r="E17" s="23" t="s">
        <v>15</v>
      </c>
      <c r="F17" s="11">
        <v>5</v>
      </c>
      <c r="G17" s="110">
        <v>78</v>
      </c>
      <c r="H17" s="46">
        <v>2</v>
      </c>
      <c r="I17" s="61">
        <v>2</v>
      </c>
      <c r="J17" s="61">
        <v>2</v>
      </c>
      <c r="K17" s="61">
        <v>2</v>
      </c>
      <c r="L17" s="62"/>
      <c r="M17" s="148"/>
      <c r="N17" s="46">
        <v>2</v>
      </c>
      <c r="O17" s="61">
        <v>2</v>
      </c>
      <c r="P17" s="61">
        <v>2</v>
      </c>
      <c r="Q17" s="61"/>
      <c r="R17" s="61"/>
      <c r="S17" s="61">
        <v>1</v>
      </c>
      <c r="T17" s="61"/>
      <c r="U17" s="45"/>
      <c r="V17" s="148"/>
      <c r="W17" s="46"/>
      <c r="X17" s="61"/>
      <c r="Y17" s="61"/>
      <c r="Z17" s="61"/>
      <c r="AA17" s="115"/>
      <c r="AB17" s="45"/>
      <c r="AC17" s="149"/>
      <c r="AD17" s="46">
        <v>1</v>
      </c>
      <c r="AE17" s="122"/>
      <c r="AF17" s="122"/>
      <c r="AG17" s="122"/>
      <c r="AH17" s="123"/>
    </row>
    <row r="18" spans="2:34">
      <c r="B18" s="100"/>
      <c r="C18" s="990"/>
      <c r="D18" s="13" t="s">
        <v>16</v>
      </c>
      <c r="E18" s="24" t="s">
        <v>17</v>
      </c>
      <c r="F18" s="3">
        <v>6</v>
      </c>
      <c r="G18" s="139">
        <v>88</v>
      </c>
      <c r="H18" s="37">
        <v>2</v>
      </c>
      <c r="I18" s="38">
        <v>2</v>
      </c>
      <c r="J18" s="38">
        <v>2</v>
      </c>
      <c r="K18" s="38">
        <v>2</v>
      </c>
      <c r="L18" s="58">
        <v>2</v>
      </c>
      <c r="M18" s="36"/>
      <c r="N18" s="37">
        <v>2</v>
      </c>
      <c r="O18" s="38"/>
      <c r="P18" s="38"/>
      <c r="Q18" s="38"/>
      <c r="R18" s="38">
        <v>2</v>
      </c>
      <c r="S18" s="38">
        <v>1</v>
      </c>
      <c r="T18" s="38"/>
      <c r="U18" s="39"/>
      <c r="V18" s="36"/>
      <c r="W18" s="37"/>
      <c r="X18" s="38">
        <v>1</v>
      </c>
      <c r="Y18" s="38"/>
      <c r="Z18" s="38"/>
      <c r="AA18" s="116"/>
      <c r="AB18" s="39"/>
      <c r="AC18" s="5"/>
      <c r="AD18" s="37">
        <v>1</v>
      </c>
      <c r="AE18" s="124">
        <v>1</v>
      </c>
      <c r="AF18" s="124">
        <v>2</v>
      </c>
      <c r="AG18" s="124"/>
      <c r="AH18" s="125"/>
    </row>
    <row r="19" spans="2:34" ht="16" thickBot="1">
      <c r="B19" s="100"/>
      <c r="C19" s="990"/>
      <c r="D19" s="14" t="s">
        <v>20</v>
      </c>
      <c r="E19" s="25" t="s">
        <v>21</v>
      </c>
      <c r="F19" s="15">
        <v>2</v>
      </c>
      <c r="G19" s="111">
        <v>31</v>
      </c>
      <c r="H19" s="49">
        <v>2</v>
      </c>
      <c r="I19" s="47">
        <v>2</v>
      </c>
      <c r="J19" s="47">
        <v>2</v>
      </c>
      <c r="K19" s="47"/>
      <c r="L19" s="59">
        <v>2</v>
      </c>
      <c r="M19" s="150"/>
      <c r="N19" s="49"/>
      <c r="O19" s="47"/>
      <c r="P19" s="47"/>
      <c r="Q19" s="47">
        <v>1</v>
      </c>
      <c r="R19" s="47">
        <v>2</v>
      </c>
      <c r="S19" s="47"/>
      <c r="T19" s="47">
        <v>2</v>
      </c>
      <c r="U19" s="48">
        <v>1</v>
      </c>
      <c r="V19" s="150"/>
      <c r="W19" s="49">
        <v>2</v>
      </c>
      <c r="X19" s="47"/>
      <c r="Y19" s="47"/>
      <c r="Z19" s="47"/>
      <c r="AA19" s="117"/>
      <c r="AB19" s="48"/>
      <c r="AC19" s="151"/>
      <c r="AD19" s="49">
        <v>1</v>
      </c>
      <c r="AE19" s="119">
        <v>1</v>
      </c>
      <c r="AF19" s="119">
        <v>2</v>
      </c>
      <c r="AG19" s="119">
        <v>2</v>
      </c>
      <c r="AH19" s="120"/>
    </row>
    <row r="20" spans="2:34" ht="16" thickBot="1">
      <c r="B20" s="101"/>
      <c r="C20" s="165" t="s">
        <v>104</v>
      </c>
      <c r="D20" s="102" t="s">
        <v>86</v>
      </c>
      <c r="E20" s="15" t="s">
        <v>87</v>
      </c>
      <c r="F20" s="107">
        <v>2</v>
      </c>
      <c r="G20" s="111">
        <v>35</v>
      </c>
      <c r="H20" s="126">
        <v>2</v>
      </c>
      <c r="I20" s="119">
        <v>2</v>
      </c>
      <c r="J20" s="119">
        <v>3</v>
      </c>
      <c r="K20" s="119">
        <v>3</v>
      </c>
      <c r="L20" s="72"/>
      <c r="M20" s="1"/>
      <c r="N20" s="14"/>
      <c r="O20" s="71"/>
      <c r="P20" s="71"/>
      <c r="Q20" s="71"/>
      <c r="R20" s="71"/>
      <c r="S20" s="71"/>
      <c r="T20" s="71"/>
      <c r="U20" s="72"/>
      <c r="V20" s="36"/>
      <c r="W20" s="40">
        <v>2</v>
      </c>
      <c r="X20" s="41">
        <v>3</v>
      </c>
      <c r="Y20" s="47">
        <v>3</v>
      </c>
      <c r="Z20" s="41">
        <v>1</v>
      </c>
      <c r="AA20" s="117">
        <v>1</v>
      </c>
      <c r="AB20" s="42">
        <v>1</v>
      </c>
      <c r="AD20" s="49">
        <v>1</v>
      </c>
      <c r="AE20" s="119">
        <v>2</v>
      </c>
      <c r="AF20" s="119">
        <v>3</v>
      </c>
      <c r="AG20" s="119">
        <v>3</v>
      </c>
      <c r="AH20" s="120">
        <v>1</v>
      </c>
    </row>
    <row r="21" spans="2:34" ht="10.5" customHeight="1" thickBot="1">
      <c r="H21" s="43"/>
      <c r="I21" s="43"/>
      <c r="J21" s="43"/>
      <c r="K21" s="43"/>
      <c r="L21" s="60"/>
      <c r="M21" s="36"/>
      <c r="N21" s="43"/>
      <c r="O21" s="43"/>
      <c r="P21" s="43"/>
      <c r="Q21" s="43"/>
      <c r="R21" s="43"/>
      <c r="S21" s="43"/>
      <c r="T21" s="43"/>
      <c r="U21" s="43"/>
      <c r="V21" s="36"/>
      <c r="W21" s="43"/>
      <c r="X21" s="43"/>
      <c r="Y21" s="43"/>
      <c r="Z21" s="43"/>
      <c r="AA21" s="43"/>
      <c r="AB21" s="43"/>
      <c r="AD21" s="43"/>
    </row>
    <row r="22" spans="2:34" ht="15" customHeight="1">
      <c r="B22" s="18" t="s">
        <v>106</v>
      </c>
      <c r="C22" s="989" t="s">
        <v>108</v>
      </c>
      <c r="D22" s="16" t="s">
        <v>25</v>
      </c>
      <c r="E22" s="23" t="s">
        <v>24</v>
      </c>
      <c r="F22" s="11">
        <v>4</v>
      </c>
      <c r="G22" s="33">
        <v>60</v>
      </c>
      <c r="H22" s="46">
        <v>3</v>
      </c>
      <c r="I22" s="61">
        <v>2</v>
      </c>
      <c r="J22" s="61">
        <v>3</v>
      </c>
      <c r="K22" s="61">
        <v>2</v>
      </c>
      <c r="L22" s="62">
        <v>2</v>
      </c>
      <c r="M22" s="148"/>
      <c r="N22" s="46">
        <v>2</v>
      </c>
      <c r="O22" s="61"/>
      <c r="P22" s="61">
        <v>2</v>
      </c>
      <c r="Q22" s="61">
        <v>2</v>
      </c>
      <c r="R22" s="61">
        <v>3</v>
      </c>
      <c r="S22" s="61">
        <v>3</v>
      </c>
      <c r="T22" s="61">
        <v>2</v>
      </c>
      <c r="U22" s="45"/>
      <c r="V22" s="148"/>
      <c r="W22" s="46"/>
      <c r="X22" s="61"/>
      <c r="Y22" s="61"/>
      <c r="Z22" s="61"/>
      <c r="AA22" s="115"/>
      <c r="AB22" s="45"/>
      <c r="AC22" s="149"/>
      <c r="AD22" s="46">
        <v>2</v>
      </c>
      <c r="AE22" s="122">
        <v>2</v>
      </c>
      <c r="AF22" s="122">
        <v>2</v>
      </c>
      <c r="AG22" s="122">
        <v>2</v>
      </c>
      <c r="AH22" s="140"/>
    </row>
    <row r="23" spans="2:34">
      <c r="B23" s="19" t="s">
        <v>60</v>
      </c>
      <c r="C23" s="990"/>
      <c r="D23" s="12" t="s">
        <v>26</v>
      </c>
      <c r="E23" s="24" t="s">
        <v>27</v>
      </c>
      <c r="F23" s="3">
        <v>3</v>
      </c>
      <c r="G23" s="34">
        <v>56</v>
      </c>
      <c r="H23" s="37">
        <v>3</v>
      </c>
      <c r="I23" s="38">
        <v>2</v>
      </c>
      <c r="J23" s="38">
        <v>3</v>
      </c>
      <c r="K23" s="38">
        <v>2</v>
      </c>
      <c r="L23" s="58">
        <v>2</v>
      </c>
      <c r="M23" s="36"/>
      <c r="N23" s="37"/>
      <c r="O23" s="38"/>
      <c r="P23" s="38">
        <v>3</v>
      </c>
      <c r="Q23" s="38">
        <v>3</v>
      </c>
      <c r="R23" s="38"/>
      <c r="S23" s="38">
        <v>3</v>
      </c>
      <c r="T23" s="124">
        <v>2</v>
      </c>
      <c r="U23" s="39">
        <v>2</v>
      </c>
      <c r="V23" s="36"/>
      <c r="W23" s="37"/>
      <c r="X23" s="38"/>
      <c r="Y23" s="38"/>
      <c r="Z23" s="38"/>
      <c r="AA23" s="116"/>
      <c r="AB23" s="39"/>
      <c r="AC23" s="5"/>
      <c r="AD23" s="37">
        <v>2</v>
      </c>
      <c r="AE23" s="124">
        <v>2</v>
      </c>
      <c r="AF23" s="124">
        <v>2</v>
      </c>
      <c r="AG23" s="124">
        <v>3</v>
      </c>
      <c r="AH23" s="141"/>
    </row>
    <row r="24" spans="2:34">
      <c r="B24" s="19"/>
      <c r="C24" s="990"/>
      <c r="D24" s="13" t="s">
        <v>36</v>
      </c>
      <c r="E24" s="24" t="s">
        <v>37</v>
      </c>
      <c r="F24" s="3">
        <v>3</v>
      </c>
      <c r="G24" s="34">
        <v>40</v>
      </c>
      <c r="H24" s="37">
        <v>2</v>
      </c>
      <c r="I24" s="38">
        <v>2</v>
      </c>
      <c r="J24" s="38"/>
      <c r="K24" s="38">
        <v>1</v>
      </c>
      <c r="L24" s="58"/>
      <c r="M24" s="36"/>
      <c r="N24" s="37"/>
      <c r="O24" s="38"/>
      <c r="P24" s="38"/>
      <c r="Q24" s="38">
        <v>2</v>
      </c>
      <c r="R24" s="38"/>
      <c r="S24" s="38"/>
      <c r="T24" s="38"/>
      <c r="U24" s="39"/>
      <c r="V24" s="36"/>
      <c r="W24" s="37"/>
      <c r="X24" s="38">
        <v>2</v>
      </c>
      <c r="Y24" s="38"/>
      <c r="Z24" s="38"/>
      <c r="AA24" s="116"/>
      <c r="AB24" s="39"/>
      <c r="AC24" s="5"/>
      <c r="AD24" s="37"/>
      <c r="AE24" s="66"/>
      <c r="AF24" s="66"/>
      <c r="AG24" s="66"/>
      <c r="AH24" s="70"/>
    </row>
    <row r="25" spans="2:34" s="188" customFormat="1" ht="16" thickBot="1">
      <c r="B25" s="216"/>
      <c r="C25" s="991"/>
      <c r="D25" s="217" t="s">
        <v>30</v>
      </c>
      <c r="E25" s="25" t="s">
        <v>31</v>
      </c>
      <c r="F25" s="25">
        <v>3</v>
      </c>
      <c r="G25" s="218">
        <v>38</v>
      </c>
      <c r="H25" s="192">
        <v>3</v>
      </c>
      <c r="I25" s="193">
        <v>2</v>
      </c>
      <c r="J25" s="193">
        <v>3</v>
      </c>
      <c r="K25" s="193">
        <v>2</v>
      </c>
      <c r="L25" s="194">
        <v>1</v>
      </c>
      <c r="M25" s="219"/>
      <c r="N25" s="192"/>
      <c r="O25" s="193"/>
      <c r="P25" s="193"/>
      <c r="Q25" s="193">
        <v>2</v>
      </c>
      <c r="R25" s="193">
        <v>2</v>
      </c>
      <c r="S25" s="193"/>
      <c r="T25" s="193">
        <v>1</v>
      </c>
      <c r="U25" s="196"/>
      <c r="V25" s="219"/>
      <c r="W25" s="192"/>
      <c r="X25" s="193"/>
      <c r="Y25" s="193"/>
      <c r="Z25" s="193"/>
      <c r="AA25" s="197"/>
      <c r="AB25" s="196"/>
      <c r="AC25" s="220"/>
      <c r="AD25" s="192">
        <v>1</v>
      </c>
      <c r="AE25" s="221"/>
      <c r="AF25" s="221"/>
      <c r="AG25" s="221"/>
      <c r="AH25" s="199"/>
    </row>
    <row r="26" spans="2:34">
      <c r="B26" s="19"/>
      <c r="C26" s="989" t="s">
        <v>109</v>
      </c>
      <c r="D26" s="10" t="s">
        <v>28</v>
      </c>
      <c r="E26" s="23" t="s">
        <v>29</v>
      </c>
      <c r="F26" s="11">
        <v>3</v>
      </c>
      <c r="G26" s="33">
        <v>50</v>
      </c>
      <c r="H26" s="46">
        <v>3</v>
      </c>
      <c r="I26" s="61">
        <v>2</v>
      </c>
      <c r="J26" s="61">
        <v>3</v>
      </c>
      <c r="K26" s="61">
        <v>3</v>
      </c>
      <c r="L26" s="62">
        <v>1</v>
      </c>
      <c r="M26" s="148"/>
      <c r="N26" s="46">
        <v>3</v>
      </c>
      <c r="O26" s="61">
        <v>3</v>
      </c>
      <c r="P26" s="61">
        <v>2</v>
      </c>
      <c r="Q26" s="61"/>
      <c r="R26" s="61"/>
      <c r="S26" s="61">
        <v>1</v>
      </c>
      <c r="T26" s="61"/>
      <c r="U26" s="45"/>
      <c r="V26" s="148"/>
      <c r="W26" s="46"/>
      <c r="X26" s="61"/>
      <c r="Y26" s="61"/>
      <c r="Z26" s="61"/>
      <c r="AA26" s="115"/>
      <c r="AB26" s="45"/>
      <c r="AC26" s="149"/>
      <c r="AD26" s="46">
        <v>2</v>
      </c>
      <c r="AE26" s="166"/>
      <c r="AF26" s="166"/>
      <c r="AG26" s="166"/>
      <c r="AH26" s="140"/>
    </row>
    <row r="27" spans="2:34">
      <c r="B27" s="19"/>
      <c r="C27" s="990"/>
      <c r="D27" s="12" t="s">
        <v>34</v>
      </c>
      <c r="E27" s="24" t="s">
        <v>35</v>
      </c>
      <c r="F27" s="3">
        <v>4</v>
      </c>
      <c r="G27" s="34">
        <v>74</v>
      </c>
      <c r="H27" s="200">
        <v>3</v>
      </c>
      <c r="I27" s="214">
        <v>3</v>
      </c>
      <c r="J27" s="201">
        <v>2</v>
      </c>
      <c r="K27" s="201">
        <v>3</v>
      </c>
      <c r="L27" s="202">
        <v>3</v>
      </c>
      <c r="M27" s="186"/>
      <c r="N27" s="200">
        <v>3</v>
      </c>
      <c r="O27" s="201">
        <v>2</v>
      </c>
      <c r="P27" s="201">
        <v>2</v>
      </c>
      <c r="Q27" s="201"/>
      <c r="R27" s="201">
        <v>2</v>
      </c>
      <c r="S27" s="201"/>
      <c r="T27" s="201"/>
      <c r="U27" s="203">
        <v>2</v>
      </c>
      <c r="V27" s="186"/>
      <c r="W27" s="200">
        <v>3</v>
      </c>
      <c r="X27" s="201">
        <v>2</v>
      </c>
      <c r="Y27" s="201">
        <v>2</v>
      </c>
      <c r="Z27" s="201"/>
      <c r="AA27" s="204"/>
      <c r="AB27" s="203"/>
      <c r="AC27" s="205"/>
      <c r="AD27" s="200"/>
      <c r="AE27" s="206"/>
      <c r="AF27" s="206"/>
      <c r="AG27" s="206"/>
      <c r="AH27" s="207"/>
    </row>
    <row r="28" spans="2:34">
      <c r="B28" s="19"/>
      <c r="C28" s="990"/>
      <c r="D28" s="13" t="s">
        <v>32</v>
      </c>
      <c r="E28" s="24" t="s">
        <v>33</v>
      </c>
      <c r="F28" s="3">
        <v>3</v>
      </c>
      <c r="G28" s="34">
        <v>34</v>
      </c>
      <c r="H28" s="37">
        <v>3</v>
      </c>
      <c r="I28" s="38"/>
      <c r="J28" s="38">
        <v>3</v>
      </c>
      <c r="K28" s="38"/>
      <c r="L28" s="58">
        <v>3</v>
      </c>
      <c r="M28" s="36"/>
      <c r="N28" s="37"/>
      <c r="O28" s="38"/>
      <c r="P28" s="38"/>
      <c r="Q28" s="38">
        <v>3</v>
      </c>
      <c r="R28" s="38"/>
      <c r="S28" s="38"/>
      <c r="T28" s="38">
        <v>3</v>
      </c>
      <c r="U28" s="39">
        <v>2</v>
      </c>
      <c r="V28" s="36"/>
      <c r="W28" s="37"/>
      <c r="X28" s="38"/>
      <c r="Y28" s="38"/>
      <c r="Z28" s="38"/>
      <c r="AA28" s="116"/>
      <c r="AB28" s="39"/>
      <c r="AC28" s="5"/>
      <c r="AD28" s="142">
        <v>1</v>
      </c>
      <c r="AE28" s="124">
        <v>2</v>
      </c>
      <c r="AF28" s="124"/>
      <c r="AG28" s="124">
        <v>2</v>
      </c>
      <c r="AH28" s="141"/>
    </row>
    <row r="29" spans="2:34" ht="16" thickBot="1">
      <c r="B29" s="19"/>
      <c r="C29" s="991"/>
      <c r="D29" s="14" t="s">
        <v>38</v>
      </c>
      <c r="E29" s="25" t="s">
        <v>39</v>
      </c>
      <c r="F29" s="15">
        <v>3</v>
      </c>
      <c r="G29" s="35">
        <v>7</v>
      </c>
      <c r="H29" s="112" t="s">
        <v>81</v>
      </c>
      <c r="I29" s="109" t="s">
        <v>81</v>
      </c>
      <c r="J29" s="109" t="s">
        <v>81</v>
      </c>
      <c r="K29" s="109" t="s">
        <v>81</v>
      </c>
      <c r="L29" s="113" t="s">
        <v>81</v>
      </c>
      <c r="M29" s="150"/>
      <c r="N29" s="112" t="s">
        <v>81</v>
      </c>
      <c r="O29" s="109" t="s">
        <v>81</v>
      </c>
      <c r="P29" s="109" t="s">
        <v>81</v>
      </c>
      <c r="Q29" s="109" t="s">
        <v>81</v>
      </c>
      <c r="R29" s="109" t="s">
        <v>81</v>
      </c>
      <c r="S29" s="109" t="s">
        <v>81</v>
      </c>
      <c r="T29" s="109" t="s">
        <v>81</v>
      </c>
      <c r="U29" s="113" t="s">
        <v>81</v>
      </c>
      <c r="V29" s="150"/>
      <c r="W29" s="49"/>
      <c r="X29" s="47">
        <v>2</v>
      </c>
      <c r="Y29" s="47">
        <v>3</v>
      </c>
      <c r="Z29" s="47"/>
      <c r="AA29" s="117"/>
      <c r="AB29" s="48"/>
      <c r="AC29" s="151"/>
      <c r="AD29" s="49"/>
      <c r="AE29" s="71"/>
      <c r="AF29" s="71"/>
      <c r="AG29" s="119">
        <v>2</v>
      </c>
      <c r="AH29" s="72"/>
    </row>
    <row r="30" spans="2:34" ht="16" thickBot="1">
      <c r="B30" s="20"/>
      <c r="C30" s="165" t="s">
        <v>110</v>
      </c>
      <c r="D30" s="167" t="s">
        <v>88</v>
      </c>
      <c r="E30" s="74" t="s">
        <v>89</v>
      </c>
      <c r="F30" s="75">
        <v>1</v>
      </c>
      <c r="G30" s="168">
        <v>16</v>
      </c>
      <c r="H30" s="169"/>
      <c r="I30" s="170"/>
      <c r="J30" s="170"/>
      <c r="K30" s="170"/>
      <c r="L30" s="171"/>
      <c r="M30" s="172"/>
      <c r="N30" s="169"/>
      <c r="O30" s="170"/>
      <c r="P30" s="170"/>
      <c r="Q30" s="170"/>
      <c r="R30" s="170"/>
      <c r="S30" s="170"/>
      <c r="T30" s="170"/>
      <c r="U30" s="173"/>
      <c r="V30" s="172"/>
      <c r="W30" s="169"/>
      <c r="X30" s="170"/>
      <c r="Y30" s="170">
        <v>3</v>
      </c>
      <c r="Z30" s="170"/>
      <c r="AA30" s="174"/>
      <c r="AB30" s="173"/>
      <c r="AC30" s="175"/>
      <c r="AD30" s="169"/>
      <c r="AE30" s="135">
        <v>2</v>
      </c>
      <c r="AF30" s="135">
        <v>3</v>
      </c>
      <c r="AG30" s="135">
        <v>3</v>
      </c>
      <c r="AH30" s="137">
        <v>2</v>
      </c>
    </row>
    <row r="31" spans="2:34" ht="5" customHeight="1" thickBot="1">
      <c r="H31" s="43"/>
      <c r="I31" s="43"/>
      <c r="J31" s="43"/>
      <c r="K31" s="43"/>
      <c r="L31" s="60"/>
      <c r="M31" s="36"/>
      <c r="N31" s="43"/>
      <c r="O31" s="43"/>
      <c r="P31" s="43"/>
      <c r="Q31" s="43"/>
      <c r="R31" s="43"/>
      <c r="S31" s="43"/>
      <c r="T31" s="43"/>
      <c r="V31" s="36"/>
      <c r="W31" s="43"/>
      <c r="X31" s="43"/>
      <c r="Y31" s="43"/>
      <c r="Z31" s="43"/>
      <c r="AA31" s="43"/>
      <c r="AB31" s="43"/>
      <c r="AD31" s="43"/>
    </row>
    <row r="32" spans="2:34" ht="18" customHeight="1">
      <c r="B32" s="21" t="s">
        <v>106</v>
      </c>
      <c r="C32" s="989" t="s">
        <v>111</v>
      </c>
      <c r="D32" s="1099" t="s">
        <v>40</v>
      </c>
      <c r="E32" s="1109"/>
      <c r="F32" s="1111">
        <v>30</v>
      </c>
      <c r="G32" s="1113"/>
      <c r="H32" s="1027" t="s">
        <v>81</v>
      </c>
      <c r="I32" s="1023" t="s">
        <v>81</v>
      </c>
      <c r="J32" s="1023" t="s">
        <v>81</v>
      </c>
      <c r="K32" s="1023" t="s">
        <v>81</v>
      </c>
      <c r="L32" s="1117" t="s">
        <v>81</v>
      </c>
      <c r="M32" s="84"/>
      <c r="N32" s="1119" t="s">
        <v>81</v>
      </c>
      <c r="O32" s="1023" t="s">
        <v>81</v>
      </c>
      <c r="P32" s="1107" t="s">
        <v>81</v>
      </c>
      <c r="Q32" s="1107" t="s">
        <v>81</v>
      </c>
      <c r="R32" s="1107" t="s">
        <v>81</v>
      </c>
      <c r="S32" s="1107" t="s">
        <v>81</v>
      </c>
      <c r="T32" s="1107" t="s">
        <v>81</v>
      </c>
      <c r="U32" s="1124" t="s">
        <v>81</v>
      </c>
      <c r="V32" s="84"/>
      <c r="W32" s="1119" t="s">
        <v>81</v>
      </c>
      <c r="X32" s="1107" t="s">
        <v>81</v>
      </c>
      <c r="Y32" s="1107" t="s">
        <v>81</v>
      </c>
      <c r="Z32" s="1107" t="s">
        <v>81</v>
      </c>
      <c r="AA32" s="1107" t="s">
        <v>81</v>
      </c>
      <c r="AB32" s="1124" t="s">
        <v>81</v>
      </c>
      <c r="AC32" s="80"/>
      <c r="AD32" s="1115" t="s">
        <v>81</v>
      </c>
      <c r="AE32" s="1023" t="s">
        <v>81</v>
      </c>
      <c r="AF32" s="1023" t="s">
        <v>81</v>
      </c>
      <c r="AG32" s="1023" t="s">
        <v>81</v>
      </c>
      <c r="AH32" s="1132" t="s">
        <v>81</v>
      </c>
    </row>
    <row r="33" spans="2:34" ht="18.75" customHeight="1" thickBot="1">
      <c r="B33" s="20" t="s">
        <v>60</v>
      </c>
      <c r="C33" s="991"/>
      <c r="D33" s="1100"/>
      <c r="E33" s="1110"/>
      <c r="F33" s="1112"/>
      <c r="G33" s="1114"/>
      <c r="H33" s="1028"/>
      <c r="I33" s="1024"/>
      <c r="J33" s="1024"/>
      <c r="K33" s="1024"/>
      <c r="L33" s="1118"/>
      <c r="M33" s="84"/>
      <c r="N33" s="1120"/>
      <c r="O33" s="1024"/>
      <c r="P33" s="1108"/>
      <c r="Q33" s="1108"/>
      <c r="R33" s="1108"/>
      <c r="S33" s="1108"/>
      <c r="T33" s="1108"/>
      <c r="U33" s="1125"/>
      <c r="V33" s="84"/>
      <c r="W33" s="1120"/>
      <c r="X33" s="1108"/>
      <c r="Y33" s="1108"/>
      <c r="Z33" s="1108"/>
      <c r="AA33" s="1108"/>
      <c r="AB33" s="1125"/>
      <c r="AC33" s="80"/>
      <c r="AD33" s="1116"/>
      <c r="AE33" s="1024"/>
      <c r="AF33" s="1024"/>
      <c r="AG33" s="1024"/>
      <c r="AH33" s="1133"/>
    </row>
    <row r="34" spans="2:34" ht="11.25" customHeight="1" thickBot="1">
      <c r="C34" s="29"/>
      <c r="H34" s="43"/>
      <c r="I34" s="43"/>
      <c r="J34" s="43"/>
      <c r="K34" s="43"/>
      <c r="L34" s="60"/>
      <c r="M34" s="36"/>
      <c r="N34" s="43"/>
      <c r="O34" s="43"/>
      <c r="P34" s="43"/>
      <c r="Q34" s="43"/>
      <c r="R34" s="43"/>
      <c r="S34" s="43"/>
      <c r="T34" s="43"/>
      <c r="V34" s="36"/>
      <c r="W34" s="43"/>
      <c r="X34" s="43"/>
      <c r="Y34" s="43"/>
      <c r="Z34" s="43"/>
      <c r="AA34" s="43"/>
      <c r="AB34" s="43"/>
      <c r="AD34" s="103"/>
    </row>
    <row r="35" spans="2:34" ht="15" customHeight="1">
      <c r="B35" s="21" t="s">
        <v>107</v>
      </c>
      <c r="C35" s="989" t="s">
        <v>112</v>
      </c>
      <c r="D35" s="10" t="s">
        <v>41</v>
      </c>
      <c r="E35" s="23" t="s">
        <v>42</v>
      </c>
      <c r="F35" s="11">
        <v>4</v>
      </c>
      <c r="G35" s="110">
        <v>46</v>
      </c>
      <c r="H35" s="46">
        <v>3</v>
      </c>
      <c r="I35" s="61"/>
      <c r="J35" s="61">
        <v>3</v>
      </c>
      <c r="K35" s="61"/>
      <c r="L35" s="62">
        <v>3</v>
      </c>
      <c r="M35" s="148"/>
      <c r="N35" s="46"/>
      <c r="O35" s="61"/>
      <c r="P35" s="61"/>
      <c r="Q35" s="61"/>
      <c r="R35" s="61"/>
      <c r="S35" s="61"/>
      <c r="T35" s="61">
        <v>3</v>
      </c>
      <c r="U35" s="45">
        <v>3</v>
      </c>
      <c r="V35" s="148"/>
      <c r="W35" s="46"/>
      <c r="X35" s="61"/>
      <c r="Y35" s="61"/>
      <c r="Z35" s="61"/>
      <c r="AA35" s="61"/>
      <c r="AB35" s="45"/>
      <c r="AC35" s="149"/>
      <c r="AD35" s="104"/>
      <c r="AE35" s="122">
        <v>2</v>
      </c>
      <c r="AF35" s="68"/>
      <c r="AG35" s="68"/>
      <c r="AH35" s="69"/>
    </row>
    <row r="36" spans="2:34">
      <c r="B36" s="19" t="s">
        <v>61</v>
      </c>
      <c r="C36" s="990"/>
      <c r="D36" s="13" t="s">
        <v>43</v>
      </c>
      <c r="E36" s="24" t="s">
        <v>44</v>
      </c>
      <c r="F36" s="3">
        <v>4</v>
      </c>
      <c r="G36" s="31">
        <v>50</v>
      </c>
      <c r="H36" s="37">
        <v>3</v>
      </c>
      <c r="I36" s="38">
        <v>3</v>
      </c>
      <c r="J36" s="38">
        <v>3</v>
      </c>
      <c r="K36" s="38">
        <v>3</v>
      </c>
      <c r="L36" s="58">
        <v>2</v>
      </c>
      <c r="M36" s="36"/>
      <c r="N36" s="37">
        <v>2</v>
      </c>
      <c r="O36" s="38"/>
      <c r="P36" s="38">
        <v>3</v>
      </c>
      <c r="Q36" s="38">
        <v>3</v>
      </c>
      <c r="R36" s="38">
        <v>3</v>
      </c>
      <c r="S36" s="38">
        <v>3</v>
      </c>
      <c r="T36" s="38">
        <v>2</v>
      </c>
      <c r="U36" s="39"/>
      <c r="V36" s="36"/>
      <c r="W36" s="37"/>
      <c r="X36" s="38"/>
      <c r="Y36" s="38"/>
      <c r="Z36" s="38"/>
      <c r="AA36" s="38"/>
      <c r="AB36" s="39"/>
      <c r="AC36" s="5"/>
      <c r="AD36" s="105">
        <v>2</v>
      </c>
      <c r="AE36" s="124">
        <v>3</v>
      </c>
      <c r="AF36" s="124">
        <v>3</v>
      </c>
      <c r="AG36" s="124">
        <v>3</v>
      </c>
      <c r="AH36" s="70"/>
    </row>
    <row r="37" spans="2:34" ht="16" thickBot="1">
      <c r="B37" s="19"/>
      <c r="C37" s="991"/>
      <c r="D37" s="14" t="s">
        <v>47</v>
      </c>
      <c r="E37" s="25" t="s">
        <v>48</v>
      </c>
      <c r="F37" s="15">
        <v>3</v>
      </c>
      <c r="G37" s="111">
        <v>40</v>
      </c>
      <c r="H37" s="49">
        <v>2</v>
      </c>
      <c r="I37" s="47">
        <v>2</v>
      </c>
      <c r="J37" s="47"/>
      <c r="K37" s="47"/>
      <c r="L37" s="59"/>
      <c r="M37" s="150"/>
      <c r="N37" s="49"/>
      <c r="O37" s="47"/>
      <c r="P37" s="47"/>
      <c r="Q37" s="47">
        <v>2</v>
      </c>
      <c r="R37" s="47"/>
      <c r="S37" s="47"/>
      <c r="T37" s="47"/>
      <c r="U37" s="48"/>
      <c r="V37" s="150"/>
      <c r="W37" s="49"/>
      <c r="X37" s="47"/>
      <c r="Y37" s="47"/>
      <c r="Z37" s="47"/>
      <c r="AA37" s="47"/>
      <c r="AB37" s="48"/>
      <c r="AC37" s="151"/>
      <c r="AD37" s="106"/>
      <c r="AE37" s="71"/>
      <c r="AF37" s="71"/>
      <c r="AG37" s="71"/>
      <c r="AH37" s="72"/>
    </row>
    <row r="38" spans="2:34">
      <c r="B38" s="19"/>
      <c r="C38" s="989" t="s">
        <v>113</v>
      </c>
      <c r="D38" s="147" t="s">
        <v>45</v>
      </c>
      <c r="E38" s="143" t="s">
        <v>46</v>
      </c>
      <c r="F38" s="144">
        <v>2</v>
      </c>
      <c r="G38" s="145">
        <v>24</v>
      </c>
      <c r="H38" s="182">
        <v>2</v>
      </c>
      <c r="I38" s="183"/>
      <c r="J38" s="184">
        <v>2</v>
      </c>
      <c r="K38" s="184">
        <v>3</v>
      </c>
      <c r="L38" s="185">
        <v>2</v>
      </c>
      <c r="M38" s="186"/>
      <c r="N38" s="182">
        <v>2</v>
      </c>
      <c r="O38" s="184"/>
      <c r="P38" s="184"/>
      <c r="Q38" s="184"/>
      <c r="R38" s="184">
        <v>2</v>
      </c>
      <c r="S38" s="184"/>
      <c r="T38" s="184"/>
      <c r="U38" s="187">
        <v>2</v>
      </c>
      <c r="V38" s="186"/>
      <c r="W38" s="182"/>
      <c r="X38" s="184"/>
      <c r="Y38" s="184"/>
      <c r="Z38" s="184"/>
      <c r="AA38" s="184"/>
      <c r="AB38" s="187"/>
      <c r="AC38" s="188"/>
      <c r="AD38" s="189"/>
      <c r="AE38" s="190"/>
      <c r="AF38" s="190"/>
      <c r="AG38" s="190"/>
      <c r="AH38" s="191"/>
    </row>
    <row r="39" spans="2:34">
      <c r="B39" s="19"/>
      <c r="C39" s="990"/>
      <c r="D39" s="13" t="s">
        <v>49</v>
      </c>
      <c r="E39" s="24" t="s">
        <v>50</v>
      </c>
      <c r="F39" s="3">
        <v>2</v>
      </c>
      <c r="G39" s="31">
        <v>38</v>
      </c>
      <c r="H39" s="37">
        <v>3</v>
      </c>
      <c r="I39" s="38">
        <v>2</v>
      </c>
      <c r="J39" s="38">
        <v>2</v>
      </c>
      <c r="K39" s="38"/>
      <c r="L39" s="58">
        <v>3</v>
      </c>
      <c r="M39" s="36"/>
      <c r="N39" s="37">
        <v>3</v>
      </c>
      <c r="O39" s="38">
        <v>2</v>
      </c>
      <c r="P39" s="38"/>
      <c r="Q39" s="38"/>
      <c r="R39" s="38">
        <v>2</v>
      </c>
      <c r="S39" s="38"/>
      <c r="T39" s="38">
        <v>3</v>
      </c>
      <c r="U39" s="39">
        <v>2</v>
      </c>
      <c r="V39" s="36"/>
      <c r="W39" s="37"/>
      <c r="X39" s="38"/>
      <c r="Y39" s="38"/>
      <c r="Z39" s="38"/>
      <c r="AA39" s="38"/>
      <c r="AB39" s="39"/>
      <c r="AD39" s="105"/>
      <c r="AE39" s="66"/>
      <c r="AF39" s="66"/>
      <c r="AG39" s="66"/>
      <c r="AH39" s="70"/>
    </row>
    <row r="40" spans="2:34" ht="16" thickBot="1">
      <c r="B40" s="19"/>
      <c r="C40" s="991"/>
      <c r="D40" s="129" t="s">
        <v>51</v>
      </c>
      <c r="E40" s="130" t="s">
        <v>52</v>
      </c>
      <c r="F40" s="131">
        <v>3</v>
      </c>
      <c r="G40" s="132">
        <v>64</v>
      </c>
      <c r="H40" s="92">
        <v>2</v>
      </c>
      <c r="I40" s="93"/>
      <c r="J40" s="93">
        <v>3</v>
      </c>
      <c r="K40" s="93">
        <v>3</v>
      </c>
      <c r="L40" s="133">
        <v>3</v>
      </c>
      <c r="M40" s="36"/>
      <c r="N40" s="92">
        <v>3</v>
      </c>
      <c r="O40" s="93">
        <v>2</v>
      </c>
      <c r="P40" s="93">
        <v>3</v>
      </c>
      <c r="Q40" s="93">
        <v>3</v>
      </c>
      <c r="R40" s="93">
        <v>3</v>
      </c>
      <c r="S40" s="93">
        <v>3</v>
      </c>
      <c r="T40" s="93">
        <v>3</v>
      </c>
      <c r="U40" s="94">
        <v>2</v>
      </c>
      <c r="V40" s="36"/>
      <c r="W40" s="92"/>
      <c r="X40" s="93"/>
      <c r="Y40" s="93"/>
      <c r="Z40" s="93"/>
      <c r="AA40" s="93"/>
      <c r="AB40" s="94"/>
      <c r="AD40" s="134"/>
      <c r="AE40" s="95"/>
      <c r="AF40" s="95"/>
      <c r="AG40" s="95"/>
      <c r="AH40" s="96"/>
    </row>
    <row r="41" spans="2:34" ht="16" thickBot="1">
      <c r="B41" s="19"/>
      <c r="C41" s="165" t="s">
        <v>114</v>
      </c>
      <c r="D41" s="73" t="s">
        <v>96</v>
      </c>
      <c r="E41" s="74" t="s">
        <v>97</v>
      </c>
      <c r="F41" s="75">
        <v>2</v>
      </c>
      <c r="G41" s="76">
        <v>16</v>
      </c>
      <c r="H41" s="169">
        <v>2</v>
      </c>
      <c r="I41" s="170"/>
      <c r="J41" s="170"/>
      <c r="K41" s="170">
        <v>2</v>
      </c>
      <c r="L41" s="171"/>
      <c r="M41" s="172"/>
      <c r="N41" s="169"/>
      <c r="O41" s="170"/>
      <c r="P41" s="170"/>
      <c r="Q41" s="170"/>
      <c r="R41" s="170"/>
      <c r="S41" s="170"/>
      <c r="T41" s="170"/>
      <c r="U41" s="173"/>
      <c r="V41" s="172"/>
      <c r="W41" s="81" t="s">
        <v>81</v>
      </c>
      <c r="X41" s="170"/>
      <c r="Y41" s="170"/>
      <c r="Z41" s="170"/>
      <c r="AA41" s="82" t="s">
        <v>81</v>
      </c>
      <c r="AB41" s="85" t="s">
        <v>81</v>
      </c>
      <c r="AC41" s="175"/>
      <c r="AD41" s="208"/>
      <c r="AE41" s="180" t="s">
        <v>81</v>
      </c>
      <c r="AF41" s="209"/>
      <c r="AG41" s="209"/>
      <c r="AH41" s="181" t="s">
        <v>81</v>
      </c>
    </row>
    <row r="42" spans="2:34">
      <c r="B42" s="19"/>
      <c r="C42" s="989" t="s">
        <v>115</v>
      </c>
      <c r="D42" s="50" t="s">
        <v>68</v>
      </c>
      <c r="E42" s="23" t="s">
        <v>116</v>
      </c>
      <c r="F42" s="11">
        <v>12</v>
      </c>
      <c r="G42" s="30">
        <v>180</v>
      </c>
      <c r="H42" s="46">
        <v>3</v>
      </c>
      <c r="I42" s="44">
        <v>3</v>
      </c>
      <c r="J42" s="44">
        <v>2</v>
      </c>
      <c r="K42" s="44"/>
      <c r="L42" s="57">
        <v>2</v>
      </c>
      <c r="M42" s="36"/>
      <c r="N42" s="46"/>
      <c r="O42" s="44">
        <v>3</v>
      </c>
      <c r="P42" s="44">
        <v>3</v>
      </c>
      <c r="Q42" s="44"/>
      <c r="R42" s="44"/>
      <c r="S42" s="44">
        <v>2</v>
      </c>
      <c r="T42" s="44"/>
      <c r="U42" s="45"/>
      <c r="V42" s="36"/>
      <c r="W42" s="46">
        <v>2</v>
      </c>
      <c r="X42" s="44">
        <v>2</v>
      </c>
      <c r="Y42" s="61"/>
      <c r="Z42" s="44"/>
      <c r="AA42" s="115"/>
      <c r="AB42" s="45"/>
      <c r="AD42" s="46">
        <v>2</v>
      </c>
      <c r="AE42" s="122">
        <v>2</v>
      </c>
      <c r="AF42" s="68"/>
      <c r="AG42" s="68"/>
      <c r="AH42" s="69"/>
    </row>
    <row r="43" spans="2:34">
      <c r="B43" s="19"/>
      <c r="C43" s="990"/>
      <c r="D43" s="13" t="s">
        <v>72</v>
      </c>
      <c r="E43" s="24" t="s">
        <v>116</v>
      </c>
      <c r="F43" s="3">
        <v>12</v>
      </c>
      <c r="G43" s="31">
        <v>180</v>
      </c>
      <c r="H43" s="37">
        <v>3</v>
      </c>
      <c r="I43" s="38">
        <v>3</v>
      </c>
      <c r="J43" s="38">
        <v>3</v>
      </c>
      <c r="K43" s="38">
        <v>3</v>
      </c>
      <c r="L43" s="58">
        <v>3</v>
      </c>
      <c r="M43" s="36"/>
      <c r="N43" s="37"/>
      <c r="O43" s="38"/>
      <c r="P43" s="38"/>
      <c r="Q43" s="38">
        <v>3</v>
      </c>
      <c r="R43" s="38">
        <v>3</v>
      </c>
      <c r="S43" s="38"/>
      <c r="T43" s="38">
        <v>3</v>
      </c>
      <c r="U43" s="39"/>
      <c r="V43" s="36"/>
      <c r="W43" s="37">
        <v>3</v>
      </c>
      <c r="X43" s="38">
        <v>2</v>
      </c>
      <c r="Y43" s="38"/>
      <c r="Z43" s="38">
        <v>2</v>
      </c>
      <c r="AA43" s="116"/>
      <c r="AB43" s="39">
        <v>3</v>
      </c>
      <c r="AD43" s="128"/>
      <c r="AE43" s="127">
        <v>3</v>
      </c>
      <c r="AF43" s="127">
        <v>3</v>
      </c>
      <c r="AG43" s="127">
        <v>3</v>
      </c>
      <c r="AH43" s="70"/>
    </row>
    <row r="44" spans="2:34">
      <c r="B44" s="19"/>
      <c r="C44" s="990"/>
      <c r="D44" s="13" t="s">
        <v>69</v>
      </c>
      <c r="E44" s="24" t="s">
        <v>116</v>
      </c>
      <c r="F44" s="3">
        <v>12</v>
      </c>
      <c r="G44" s="31">
        <v>180</v>
      </c>
      <c r="H44" s="200">
        <v>3</v>
      </c>
      <c r="I44" s="201">
        <v>3</v>
      </c>
      <c r="J44" s="201">
        <v>3</v>
      </c>
      <c r="K44" s="201">
        <v>3</v>
      </c>
      <c r="L44" s="202">
        <v>3</v>
      </c>
      <c r="M44" s="186"/>
      <c r="N44" s="200">
        <v>3</v>
      </c>
      <c r="O44" s="201">
        <v>3</v>
      </c>
      <c r="P44" s="201"/>
      <c r="Q44" s="201"/>
      <c r="R44" s="201"/>
      <c r="S44" s="201"/>
      <c r="T44" s="201"/>
      <c r="U44" s="203"/>
      <c r="V44" s="186"/>
      <c r="W44" s="200">
        <v>3</v>
      </c>
      <c r="X44" s="201">
        <v>3</v>
      </c>
      <c r="Y44" s="201">
        <v>2</v>
      </c>
      <c r="Z44" s="201"/>
      <c r="AA44" s="204"/>
      <c r="AB44" s="203"/>
      <c r="AC44" s="188"/>
      <c r="AD44" s="200"/>
      <c r="AE44" s="214">
        <v>2</v>
      </c>
      <c r="AF44" s="214">
        <v>2</v>
      </c>
      <c r="AG44" s="210"/>
      <c r="AH44" s="213"/>
    </row>
    <row r="45" spans="2:34">
      <c r="B45" s="19"/>
      <c r="C45" s="990"/>
      <c r="D45" s="13" t="s">
        <v>73</v>
      </c>
      <c r="E45" s="24" t="s">
        <v>116</v>
      </c>
      <c r="F45" s="3">
        <v>12</v>
      </c>
      <c r="G45" s="31">
        <v>180</v>
      </c>
      <c r="H45" s="200">
        <v>3</v>
      </c>
      <c r="I45" s="201">
        <v>2</v>
      </c>
      <c r="J45" s="201"/>
      <c r="K45" s="201">
        <v>3</v>
      </c>
      <c r="L45" s="202">
        <v>3</v>
      </c>
      <c r="M45" s="186"/>
      <c r="N45" s="200"/>
      <c r="O45" s="201"/>
      <c r="P45" s="201">
        <v>2</v>
      </c>
      <c r="Q45" s="201">
        <v>3</v>
      </c>
      <c r="R45" s="201"/>
      <c r="S45" s="201">
        <v>3</v>
      </c>
      <c r="T45" s="201">
        <v>3</v>
      </c>
      <c r="U45" s="203">
        <v>2</v>
      </c>
      <c r="V45" s="186"/>
      <c r="W45" s="200">
        <v>3</v>
      </c>
      <c r="X45" s="201">
        <v>3</v>
      </c>
      <c r="Y45" s="201">
        <v>3</v>
      </c>
      <c r="Z45" s="201"/>
      <c r="AA45" s="204"/>
      <c r="AB45" s="203"/>
      <c r="AC45" s="188"/>
      <c r="AD45" s="211" t="s">
        <v>81</v>
      </c>
      <c r="AE45" s="127">
        <v>3</v>
      </c>
      <c r="AF45" s="127">
        <v>2</v>
      </c>
      <c r="AG45" s="127">
        <v>3</v>
      </c>
      <c r="AH45" s="212">
        <v>2</v>
      </c>
    </row>
    <row r="46" spans="2:34" ht="16" thickBot="1">
      <c r="B46" s="20"/>
      <c r="C46" s="991"/>
      <c r="D46" s="51" t="s">
        <v>451</v>
      </c>
      <c r="E46" s="25" t="s">
        <v>116</v>
      </c>
      <c r="F46" s="15">
        <v>12</v>
      </c>
      <c r="G46" s="32">
        <v>180</v>
      </c>
      <c r="H46" s="192">
        <v>3</v>
      </c>
      <c r="I46" s="193">
        <v>3</v>
      </c>
      <c r="J46" s="193">
        <v>2</v>
      </c>
      <c r="K46" s="193">
        <v>3</v>
      </c>
      <c r="L46" s="194">
        <v>2</v>
      </c>
      <c r="M46" s="186"/>
      <c r="N46" s="192">
        <v>3</v>
      </c>
      <c r="O46" s="193"/>
      <c r="P46" s="193">
        <v>2</v>
      </c>
      <c r="Q46" s="193">
        <v>2</v>
      </c>
      <c r="R46" s="193">
        <v>3</v>
      </c>
      <c r="S46" s="193"/>
      <c r="T46" s="195"/>
      <c r="U46" s="196"/>
      <c r="V46" s="186"/>
      <c r="W46" s="192">
        <v>3</v>
      </c>
      <c r="X46" s="193">
        <v>2</v>
      </c>
      <c r="Y46" s="193">
        <v>2</v>
      </c>
      <c r="Z46" s="193"/>
      <c r="AA46" s="197"/>
      <c r="AB46" s="196"/>
      <c r="AC46" s="188"/>
      <c r="AD46" s="192"/>
      <c r="AE46" s="198"/>
      <c r="AF46" s="198"/>
      <c r="AG46" s="198"/>
      <c r="AH46" s="199"/>
    </row>
    <row r="47" spans="2:34" ht="5" customHeight="1" thickBot="1">
      <c r="H47" s="43"/>
      <c r="I47" s="43"/>
      <c r="J47" s="43"/>
      <c r="K47" s="43"/>
      <c r="L47" s="60"/>
      <c r="M47" s="36"/>
      <c r="N47" s="43"/>
      <c r="O47" s="43"/>
      <c r="P47" s="43"/>
      <c r="Q47" s="43"/>
      <c r="R47" s="43"/>
      <c r="S47" s="43"/>
      <c r="T47" s="43"/>
      <c r="U47" s="43"/>
      <c r="V47" s="36"/>
      <c r="W47" s="43"/>
      <c r="X47" s="43"/>
      <c r="Y47" s="43"/>
      <c r="Z47" s="43"/>
      <c r="AA47" s="43"/>
      <c r="AB47" s="43"/>
      <c r="AD47" s="103"/>
    </row>
    <row r="48" spans="2:34" ht="16" thickBot="1">
      <c r="B48" s="21" t="s">
        <v>119</v>
      </c>
      <c r="C48" s="65" t="s">
        <v>120</v>
      </c>
      <c r="D48" s="177" t="s">
        <v>121</v>
      </c>
      <c r="E48" s="74" t="s">
        <v>122</v>
      </c>
      <c r="F48" s="75">
        <v>6</v>
      </c>
      <c r="G48" s="76">
        <v>96</v>
      </c>
      <c r="H48" s="81" t="s">
        <v>81</v>
      </c>
      <c r="I48" s="82" t="s">
        <v>81</v>
      </c>
      <c r="J48" s="82" t="s">
        <v>81</v>
      </c>
      <c r="K48" s="82" t="s">
        <v>81</v>
      </c>
      <c r="L48" s="83" t="s">
        <v>81</v>
      </c>
      <c r="M48" s="84"/>
      <c r="N48" s="81" t="s">
        <v>81</v>
      </c>
      <c r="O48" s="82" t="s">
        <v>81</v>
      </c>
      <c r="P48" s="82" t="s">
        <v>81</v>
      </c>
      <c r="Q48" s="82" t="s">
        <v>81</v>
      </c>
      <c r="R48" s="82" t="s">
        <v>81</v>
      </c>
      <c r="S48" s="82" t="s">
        <v>81</v>
      </c>
      <c r="T48" s="82" t="s">
        <v>81</v>
      </c>
      <c r="U48" s="85" t="s">
        <v>81</v>
      </c>
      <c r="V48" s="84"/>
      <c r="W48" s="81" t="s">
        <v>81</v>
      </c>
      <c r="X48" s="82" t="s">
        <v>81</v>
      </c>
      <c r="Y48" s="82" t="s">
        <v>81</v>
      </c>
      <c r="Z48" s="82" t="s">
        <v>81</v>
      </c>
      <c r="AA48" s="82" t="s">
        <v>81</v>
      </c>
      <c r="AB48" s="85" t="s">
        <v>81</v>
      </c>
      <c r="AC48" s="86"/>
      <c r="AD48" s="81" t="s">
        <v>81</v>
      </c>
      <c r="AE48" s="87" t="s">
        <v>81</v>
      </c>
      <c r="AF48" s="87" t="s">
        <v>81</v>
      </c>
      <c r="AG48" s="82" t="s">
        <v>81</v>
      </c>
      <c r="AH48" s="85" t="s">
        <v>81</v>
      </c>
    </row>
    <row r="49" spans="1:34" ht="16" thickBot="1">
      <c r="B49" s="178" t="s">
        <v>118</v>
      </c>
      <c r="C49" s="65" t="s">
        <v>117</v>
      </c>
      <c r="D49" s="158" t="s">
        <v>53</v>
      </c>
      <c r="E49" s="176" t="s">
        <v>54</v>
      </c>
      <c r="F49" s="153">
        <v>21</v>
      </c>
      <c r="G49" s="154">
        <v>15</v>
      </c>
      <c r="H49" s="81" t="s">
        <v>81</v>
      </c>
      <c r="I49" s="82" t="s">
        <v>81</v>
      </c>
      <c r="J49" s="82" t="s">
        <v>81</v>
      </c>
      <c r="K49" s="82" t="s">
        <v>81</v>
      </c>
      <c r="L49" s="83" t="s">
        <v>81</v>
      </c>
      <c r="M49" s="84"/>
      <c r="N49" s="81" t="s">
        <v>81</v>
      </c>
      <c r="O49" s="82" t="s">
        <v>81</v>
      </c>
      <c r="P49" s="82" t="s">
        <v>81</v>
      </c>
      <c r="Q49" s="82" t="s">
        <v>81</v>
      </c>
      <c r="R49" s="82" t="s">
        <v>81</v>
      </c>
      <c r="S49" s="82" t="s">
        <v>81</v>
      </c>
      <c r="T49" s="82" t="s">
        <v>81</v>
      </c>
      <c r="U49" s="85" t="s">
        <v>81</v>
      </c>
      <c r="V49" s="84"/>
      <c r="W49" s="81" t="s">
        <v>81</v>
      </c>
      <c r="X49" s="82" t="s">
        <v>81</v>
      </c>
      <c r="Y49" s="82" t="s">
        <v>81</v>
      </c>
      <c r="Z49" s="82" t="s">
        <v>81</v>
      </c>
      <c r="AA49" s="82" t="s">
        <v>81</v>
      </c>
      <c r="AB49" s="85" t="s">
        <v>81</v>
      </c>
      <c r="AC49" s="86"/>
      <c r="AD49" s="81" t="s">
        <v>81</v>
      </c>
      <c r="AE49" s="87" t="s">
        <v>81</v>
      </c>
      <c r="AF49" s="87" t="s">
        <v>81</v>
      </c>
      <c r="AG49" s="82" t="s">
        <v>81</v>
      </c>
      <c r="AH49" s="85" t="s">
        <v>81</v>
      </c>
    </row>
    <row r="50" spans="1:34" ht="5" customHeight="1">
      <c r="H50" s="43"/>
      <c r="I50" s="43"/>
      <c r="J50" s="43"/>
      <c r="K50" s="43"/>
      <c r="L50" s="60"/>
      <c r="M50" s="36"/>
      <c r="N50" s="43"/>
      <c r="O50" s="43"/>
      <c r="P50" s="43"/>
      <c r="Q50" s="43"/>
      <c r="R50" s="43"/>
      <c r="S50" s="43"/>
      <c r="T50" s="43"/>
      <c r="U50" s="43"/>
      <c r="V50" s="36"/>
      <c r="W50" s="43"/>
      <c r="X50" s="43"/>
      <c r="Y50" s="43"/>
      <c r="Z50" s="43"/>
      <c r="AA50" s="43"/>
      <c r="AB50" s="43"/>
      <c r="AD50" s="43"/>
    </row>
    <row r="51" spans="1:34" ht="15" customHeight="1" thickBot="1">
      <c r="A51" s="4"/>
      <c r="E51" s="1"/>
      <c r="F51" s="1"/>
      <c r="G51" s="1"/>
      <c r="L51" s="1"/>
      <c r="M51" s="1"/>
      <c r="U51" s="1"/>
      <c r="V51" s="1"/>
      <c r="AD51" s="1"/>
    </row>
    <row r="52" spans="1:34" ht="16" thickBot="1">
      <c r="A52" s="4"/>
      <c r="B52" s="1020" t="s">
        <v>98</v>
      </c>
      <c r="C52" s="1021"/>
      <c r="D52" s="1021"/>
      <c r="E52" s="1021"/>
      <c r="F52" s="1021"/>
      <c r="G52" s="1022"/>
      <c r="H52" s="73"/>
      <c r="I52" s="77"/>
      <c r="J52" s="77"/>
      <c r="K52" s="77"/>
      <c r="L52" s="89"/>
      <c r="N52" s="73"/>
      <c r="O52" s="77"/>
      <c r="P52" s="77"/>
      <c r="Q52" s="77"/>
      <c r="R52" s="77"/>
      <c r="S52" s="77"/>
      <c r="T52" s="77"/>
      <c r="U52" s="78"/>
      <c r="W52" s="73"/>
      <c r="X52" s="77"/>
      <c r="Y52" s="135">
        <v>1</v>
      </c>
      <c r="Z52" s="135">
        <v>2</v>
      </c>
      <c r="AA52" s="136"/>
      <c r="AB52" s="137"/>
      <c r="AC52" s="121"/>
      <c r="AD52" s="138"/>
      <c r="AE52" s="135">
        <v>1</v>
      </c>
      <c r="AF52" s="135"/>
      <c r="AG52" s="135"/>
      <c r="AH52" s="137">
        <v>1</v>
      </c>
    </row>
    <row r="53" spans="1:34">
      <c r="A53" s="4"/>
      <c r="E53" s="1"/>
      <c r="F53" s="1"/>
      <c r="G53" s="1"/>
      <c r="L53" s="1"/>
      <c r="M53" s="1"/>
      <c r="U53" s="1"/>
      <c r="V53" s="1"/>
      <c r="AD53" s="1"/>
    </row>
    <row r="54" spans="1:34">
      <c r="A54" s="4"/>
      <c r="B54" s="179" t="s">
        <v>82</v>
      </c>
      <c r="E54" s="1"/>
      <c r="F54" s="1"/>
      <c r="G54" s="1"/>
      <c r="L54" s="1"/>
      <c r="M54" s="1"/>
      <c r="U54" s="1"/>
      <c r="V54" s="1"/>
      <c r="AD54" s="1"/>
    </row>
    <row r="55" spans="1:34">
      <c r="A55" s="4"/>
      <c r="E55" s="1"/>
      <c r="F55" s="1"/>
      <c r="G55" s="1"/>
      <c r="L55" s="1"/>
      <c r="M55" s="1"/>
      <c r="U55" s="1"/>
      <c r="V55" s="1"/>
      <c r="AD55" s="1"/>
    </row>
    <row r="56" spans="1:34" ht="21">
      <c r="B56" s="334" t="s">
        <v>481</v>
      </c>
      <c r="U56" s="1"/>
      <c r="AD56" s="43"/>
    </row>
    <row r="57" spans="1:34" ht="15.75" customHeight="1">
      <c r="B57" s="333" t="s">
        <v>482</v>
      </c>
      <c r="C57" s="1"/>
      <c r="E57" s="1"/>
      <c r="F57" s="1"/>
      <c r="G57" s="1"/>
      <c r="L57" s="1"/>
      <c r="M57" s="1"/>
      <c r="U57" s="1"/>
      <c r="V57" s="1"/>
      <c r="AD57" s="1"/>
    </row>
    <row r="58" spans="1:34" ht="21">
      <c r="B58" s="333" t="s">
        <v>483</v>
      </c>
      <c r="U58" s="1"/>
      <c r="AD58" s="1"/>
    </row>
    <row r="59" spans="1:34" ht="21">
      <c r="B59" s="333" t="s">
        <v>484</v>
      </c>
      <c r="U59" s="1"/>
      <c r="AD59" s="1"/>
    </row>
    <row r="60" spans="1:34" ht="21">
      <c r="B60" s="333" t="s">
        <v>485</v>
      </c>
      <c r="C60" s="91"/>
    </row>
    <row r="61" spans="1:34" ht="21">
      <c r="B61" s="333" t="s">
        <v>486</v>
      </c>
    </row>
    <row r="62" spans="1:34" ht="21">
      <c r="B62" s="333" t="s">
        <v>487</v>
      </c>
    </row>
    <row r="63" spans="1:34" ht="18">
      <c r="H63" s="79"/>
    </row>
  </sheetData>
  <mergeCells count="43">
    <mergeCell ref="C6:C8"/>
    <mergeCell ref="C9:C11"/>
    <mergeCell ref="C14:C16"/>
    <mergeCell ref="C17:C19"/>
    <mergeCell ref="B52:G52"/>
    <mergeCell ref="C22:C25"/>
    <mergeCell ref="C26:C29"/>
    <mergeCell ref="C32:C33"/>
    <mergeCell ref="C35:C37"/>
    <mergeCell ref="C38:C40"/>
    <mergeCell ref="C42:C46"/>
    <mergeCell ref="N3:U3"/>
    <mergeCell ref="S32:S33"/>
    <mergeCell ref="R32:R33"/>
    <mergeCell ref="Q32:Q33"/>
    <mergeCell ref="D32:D33"/>
    <mergeCell ref="E32:E33"/>
    <mergeCell ref="F32:F33"/>
    <mergeCell ref="H3:L3"/>
    <mergeCell ref="O32:O33"/>
    <mergeCell ref="G32:G33"/>
    <mergeCell ref="H32:H33"/>
    <mergeCell ref="I32:I33"/>
    <mergeCell ref="J32:J33"/>
    <mergeCell ref="K32:K33"/>
    <mergeCell ref="L32:L33"/>
    <mergeCell ref="N32:N33"/>
    <mergeCell ref="P32:P33"/>
    <mergeCell ref="AB32:AB33"/>
    <mergeCell ref="Z32:Z33"/>
    <mergeCell ref="T32:T33"/>
    <mergeCell ref="W32:W33"/>
    <mergeCell ref="X32:X33"/>
    <mergeCell ref="U32:U33"/>
    <mergeCell ref="W3:AB3"/>
    <mergeCell ref="AD3:AH3"/>
    <mergeCell ref="AD32:AD33"/>
    <mergeCell ref="AE32:AE33"/>
    <mergeCell ref="AH32:AH33"/>
    <mergeCell ref="AG32:AG33"/>
    <mergeCell ref="AF32:AF33"/>
    <mergeCell ref="Y32:Y33"/>
    <mergeCell ref="AA32:AA33"/>
  </mergeCells>
  <pageMargins left="0.25" right="0.25" top="0.75" bottom="0.75" header="0.3" footer="0.3"/>
  <pageSetup paperSize="8" scale="60" orientation="landscape"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3"/>
  <dimension ref="E3:F4"/>
  <sheetViews>
    <sheetView workbookViewId="0">
      <selection activeCell="F3" sqref="F3:F4"/>
    </sheetView>
  </sheetViews>
  <sheetFormatPr baseColWidth="10" defaultRowHeight="15"/>
  <sheetData>
    <row r="3" spans="5:6">
      <c r="E3" t="s">
        <v>407</v>
      </c>
      <c r="F3" t="s">
        <v>410</v>
      </c>
    </row>
    <row r="4" spans="5:6">
      <c r="E4" t="s">
        <v>409</v>
      </c>
      <c r="F4" t="s">
        <v>411</v>
      </c>
    </row>
  </sheetData>
  <dataValidations count="2">
    <dataValidation type="list" allowBlank="1" showInputMessage="1" showErrorMessage="1" sqref="I5" xr:uid="{00000000-0002-0000-2A00-000000000000}">
      <formula1>"choix"</formula1>
    </dataValidation>
    <dataValidation type="list" allowBlank="1" showInputMessage="1" showErrorMessage="1" sqref="G3" xr:uid="{00000000-0002-0000-2A00-000001000000}">
      <formula1>choix</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43</vt:i4>
      </vt:variant>
      <vt:variant>
        <vt:lpstr>Plages nommées</vt:lpstr>
      </vt:variant>
      <vt:variant>
        <vt:i4>2</vt:i4>
      </vt:variant>
    </vt:vector>
  </HeadingPairs>
  <TitlesOfParts>
    <vt:vector size="45" baseType="lpstr">
      <vt:lpstr>SYNTHESE FINALE</vt:lpstr>
      <vt:lpstr>Listes</vt:lpstr>
      <vt:lpstr>SSMT-F</vt:lpstr>
      <vt:lpstr>TC1-F</vt:lpstr>
      <vt:lpstr>MA1</vt:lpstr>
      <vt:lpstr>ETEP1-F</vt:lpstr>
      <vt:lpstr>EC1-F</vt:lpstr>
      <vt:lpstr>IF1-F</vt:lpstr>
      <vt:lpstr>AU1-F</vt:lpstr>
      <vt:lpstr>HU1-F</vt:lpstr>
      <vt:lpstr>TT-F</vt:lpstr>
      <vt:lpstr>MA2</vt:lpstr>
      <vt:lpstr>ETEP2-F</vt:lpstr>
      <vt:lpstr>EC2-F</vt:lpstr>
      <vt:lpstr>IF2-F</vt:lpstr>
      <vt:lpstr>HU2-F</vt:lpstr>
      <vt:lpstr>AU2-F</vt:lpstr>
      <vt:lpstr>AU3-F</vt:lpstr>
      <vt:lpstr>MA3-F</vt:lpstr>
      <vt:lpstr>TS-F</vt:lpstr>
      <vt:lpstr>ETEP3-F</vt:lpstr>
      <vt:lpstr>TC2</vt:lpstr>
      <vt:lpstr>IF3-F</vt:lpstr>
      <vt:lpstr>HU3</vt:lpstr>
      <vt:lpstr>IF4-F</vt:lpstr>
      <vt:lpstr>AU4-F</vt:lpstr>
      <vt:lpstr>MA4-F</vt:lpstr>
      <vt:lpstr>TC3</vt:lpstr>
      <vt:lpstr>EC3-F</vt:lpstr>
      <vt:lpstr>HU4</vt:lpstr>
      <vt:lpstr>Op C2E-F</vt:lpstr>
      <vt:lpstr>Op TDSI</vt:lpstr>
      <vt:lpstr>Op SEI-F</vt:lpstr>
      <vt:lpstr>Op ISIP-F</vt:lpstr>
      <vt:lpstr>Op SEC</vt:lpstr>
      <vt:lpstr>Op CCSA-F</vt:lpstr>
      <vt:lpstr>PFE</vt:lpstr>
      <vt:lpstr>stage</vt:lpstr>
      <vt:lpstr>TPTR</vt:lpstr>
      <vt:lpstr>PRT</vt:lpstr>
      <vt:lpstr>SYNTHESE MODIF</vt:lpstr>
      <vt:lpstr>SYNTHESE</vt:lpstr>
      <vt:lpstr>Feuil4</vt:lpstr>
      <vt:lpstr>choix</vt:lpstr>
      <vt:lpstr>Choix_capacité</vt:lpstr>
    </vt:vector>
  </TitlesOfParts>
  <Company>INL-INSA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Claudine Gehin</dc:creator>
  <cp:lastModifiedBy>Utilisateur Microsoft Office</cp:lastModifiedBy>
  <cp:lastPrinted>2018-02-07T07:46:53Z</cp:lastPrinted>
  <dcterms:created xsi:type="dcterms:W3CDTF">2014-01-07T09:06:32Z</dcterms:created>
  <dcterms:modified xsi:type="dcterms:W3CDTF">2018-09-28T12:38:50Z</dcterms:modified>
</cp:coreProperties>
</file>